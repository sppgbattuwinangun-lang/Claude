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SHBOARD" sheetId="1" state="visible" r:id="rId3"/>
    <sheet name="📒 KAS UMUM LENGKAP" sheetId="2" state="visible" r:id="rId4"/>
    <sheet name="📅 REKAP HARIAN DETAIL" sheetId="3" state="visible" r:id="rId5"/>
    <sheet name="📈 GRAFIK" sheetId="4" state="visible" r:id="rId6"/>
    <sheet name="📋 REKAP AKHIR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<sst xmlns="http://schemas.openxmlformats.org/spreadsheetml/2006/main" count="276" uniqueCount="111">
  <si>
    <t xml:space="preserve">📋  DASHBOARD KAS UMUM  |  SPPG BATTUWINANGUN  |  DAPUR HARTONO FAMILY CATERING</t>
  </si>
  <si>
    <t xml:space="preserve">Periode: 8 Januari - 17 Januari 2026 (Minggu ke-19 &amp; 20)  |  Minggu ke-19 &amp; 20</t>
  </si>
  <si>
    <t xml:space="preserve">▌ RINGKASAN KEUANGAN</t>
  </si>
  <si>
    <t xml:space="preserve">💰 SALDO AWAL
Rp 500,000,000</t>
  </si>
  <si>
    <t xml:space="preserve">📤 TOTAL PENGELUARAN
Rp 136,530,724</t>
  </si>
  <si>
    <t xml:space="preserve">💵 SALDO AKHIR
Rp 363,469,276</t>
  </si>
  <si>
    <t xml:space="preserve">🍽️ BAHAN PANGAN TERPAKAI
Rp 77,880,100</t>
  </si>
  <si>
    <t xml:space="preserve">⚙️ OPERASIONAL TERPAKAI
Rp 10,650,624</t>
  </si>
  <si>
    <t xml:space="preserve">🏠 SEWA TERPAKAI
Rp 48,000,000</t>
  </si>
  <si>
    <t xml:space="preserve">📅 HARI AKTIF DICATAT
7 dari 10 Hari</t>
  </si>
  <si>
    <t xml:space="preserve">▌ REKAP KAS UMUM – 10 HARI (8–17 JANUARI 2026)</t>
  </si>
  <si>
    <t xml:space="preserve">No</t>
  </si>
  <si>
    <t xml:space="preserve">Tanggal</t>
  </si>
  <si>
    <t xml:space="preserve">Bahan Pangan (Rp)</t>
  </si>
  <si>
    <t xml:space="preserve">Operasional (Rp)</t>
  </si>
  <si>
    <t xml:space="preserve">Sewa (Rp)</t>
  </si>
  <si>
    <t xml:space="preserve">Total Pengeluaran (Rp)</t>
  </si>
  <si>
    <t xml:space="preserve">Saldo Awal (Rp)</t>
  </si>
  <si>
    <t xml:space="preserve">Saldo Akhir (Rp)</t>
  </si>
  <si>
    <t xml:space="preserve">8 Jan 2026</t>
  </si>
  <si>
    <t xml:space="preserve">9 Jan 2026</t>
  </si>
  <si>
    <t xml:space="preserve">10 Jan 2026</t>
  </si>
  <si>
    <t xml:space="preserve">11 Jan 2026</t>
  </si>
  <si>
    <t xml:space="preserve">12 Jan 2026</t>
  </si>
  <si>
    <t xml:space="preserve">13 Jan 2026</t>
  </si>
  <si>
    <t xml:space="preserve">14 Jan 2026</t>
  </si>
  <si>
    <t xml:space="preserve">15 Jan 2026</t>
  </si>
  <si>
    <t xml:space="preserve">– (Data belum tersedia)</t>
  </si>
  <si>
    <t xml:space="preserve">-</t>
  </si>
  <si>
    <t xml:space="preserve">16 Jan 2026</t>
  </si>
  <si>
    <t xml:space="preserve">17 Jan 2026</t>
  </si>
  <si>
    <t xml:space="preserve">TOTAL KESELURUHAN</t>
  </si>
  <si>
    <t xml:space="preserve">▌ ANALISIS ANGGARAN vs REALISASI</t>
  </si>
  <si>
    <t xml:space="preserve">Komponen</t>
  </si>
  <si>
    <t xml:space="preserve">Anggaran/Budget (Rp)</t>
  </si>
  <si>
    <t xml:space="preserve">Realisasi (Rp)</t>
  </si>
  <si>
    <t xml:space="preserve">Selisih (Rp)</t>
  </si>
  <si>
    <t xml:space="preserve">Status</t>
  </si>
  <si>
    <t xml:space="preserve">Keterangan</t>
  </si>
  <si>
    <t xml:space="preserve">Bahan Pangan</t>
  </si>
  <si>
    <t xml:space="preserve">✅ Sesuai</t>
  </si>
  <si>
    <t xml:space="preserve">Dalam batas anggaran</t>
  </si>
  <si>
    <t xml:space="preserve">Operasional</t>
  </si>
  <si>
    <t xml:space="preserve">Sewa</t>
  </si>
  <si>
    <t xml:space="preserve">ℹ️  CATATAN: Data hari ke-8, 9, 10 (15-17 Januari 2026) belum diinput. Total saldo akhir 363,469,276 berdasarkan data 3 hari pertama (8-10 Jan). Saldo akan diperbarui setelah laporan harian lengkap.</t>
  </si>
  <si>
    <t xml:space="preserve">Dokumen dibuat otomatis dari data Kas Umum SPPG Battuwinangun  |  DAPUR HARTONO FAMILY CATERING  |  Minggu ke-19 &amp; 20</t>
  </si>
  <si>
    <t xml:space="preserve">BUKU KAS UMUM – SPPG BATTUWINANGUN – DAPUR HARTONO FAMILY CATERING</t>
  </si>
  <si>
    <t xml:space="preserve">Periode: 8 Januari - 17 Januari 2026 (Minggu ke-19 &amp; 20)  |  Saldo Awal: Rp 500,000,000</t>
  </si>
  <si>
    <t xml:space="preserve">Kode</t>
  </si>
  <si>
    <t xml:space="preserve">No. Bukti</t>
  </si>
  <si>
    <t xml:space="preserve">Uraian</t>
  </si>
  <si>
    <t xml:space="preserve">Pemasukan
(Debet) Rp</t>
  </si>
  <si>
    <t xml:space="preserve">Pengeluaran
(Kredit) Rp</t>
  </si>
  <si>
    <t xml:space="preserve">Saldo Rp</t>
  </si>
  <si>
    <t xml:space="preserve">Saldo Awal
(Rp)</t>
  </si>
  <si>
    <t xml:space="preserve">Penerima
Dana</t>
  </si>
  <si>
    <t xml:space="preserve">PENGELUARAN DANA (Rp)</t>
  </si>
  <si>
    <t xml:space="preserve">Saldo Akhir
(Rp)</t>
  </si>
  <si>
    <t xml:space="preserve">Rata-Rata
Pengeluaran
Bahan Pangan/Hari</t>
  </si>
  <si>
    <t xml:space="preserve">Penggunaan
Dana Pangan
(Rp)</t>
  </si>
  <si>
    <t xml:space="preserve">Sisa Dana /
Selisih (Rp)</t>
  </si>
  <si>
    <t xml:space="preserve">Bahan
Pangan</t>
  </si>
  <si>
    <t xml:space="preserve">TOTAL</t>
  </si>
  <si>
    <t xml:space="preserve">Saldo Awal</t>
  </si>
  <si>
    <t xml:space="preserve">Pengeluaran Keseluruhan Perhari</t>
  </si>
  <si>
    <t xml:space="preserve">TOTAL PENGELUARAN 10 HARI</t>
  </si>
  <si>
    <t xml:space="preserve">TOTAL PENGELUARAN SEHARUSNYA</t>
  </si>
  <si>
    <t xml:space="preserve">SURPLUS / SISA DANA</t>
  </si>
  <si>
    <t xml:space="preserve">PENGGUNAAN DANA PANGAN</t>
  </si>
  <si>
    <t xml:space="preserve">PENGGUNAAN OPERASIONAL</t>
  </si>
  <si>
    <t xml:space="preserve">REKAP PENGELUARAN HARIAN – SPPG BATTUWINANGUN – Periode: 8 Januari - 17 Januari 2026 (Minggu ke-19 &amp; 20)</t>
  </si>
  <si>
    <t xml:space="preserve">Total/Hari (Rp)</t>
  </si>
  <si>
    <t xml:space="preserve">% dr Saldo Awal</t>
  </si>
  <si>
    <t xml:space="preserve">✅ Lengkap</t>
  </si>
  <si>
    <t xml:space="preserve">Pangan: Rp25,263,000 | Ops: Rp1,940,000</t>
  </si>
  <si>
    <t xml:space="preserve">Pangan: Rp31,268,000 | Ops: Rp6,862,300</t>
  </si>
  <si>
    <t xml:space="preserve">Pangan: Rp21,349,100 | Ops: Rp1,848,324 | Sewa: Rp48,000,000</t>
  </si>
  <si>
    <t xml:space="preserve">Pangan: Rp24,797,200 | Ops: Rp1,660,000</t>
  </si>
  <si>
    <t xml:space="preserve">Pangan: Rp20,779,200 | Ops: Rp3,519,614</t>
  </si>
  <si>
    <t xml:space="preserve">Pangan: Rp37,375,200 | Ops: Rp1,660,000</t>
  </si>
  <si>
    <t xml:space="preserve">Pangan: Rp50,096,700 | Ops: Rp2,580,000</t>
  </si>
  <si>
    <t xml:space="preserve">⏳ Belum diinput</t>
  </si>
  <si>
    <t xml:space="preserve">GRAFIK &amp; VISUALISASI KEUANGAN – SPPG BATTUWINANGUN</t>
  </si>
  <si>
    <t xml:space="preserve">Total</t>
  </si>
  <si>
    <t xml:space="preserve">Saldo Akhir</t>
  </si>
  <si>
    <t xml:space="preserve">Jumlah</t>
  </si>
  <si>
    <t xml:space="preserve">LAPORAN REKAP AKHIR – SPPG BATTUWINANGUN</t>
  </si>
  <si>
    <t xml:space="preserve">DAPUR HARTONO FAMILY CATERING  |  Periode: 8 Januari - 17 Januari 2026 (Minggu ke-19 &amp; 20)</t>
  </si>
  <si>
    <t xml:space="preserve">Periode</t>
  </si>
  <si>
    <t xml:space="preserve">Nominal
di-Transfer (Rp)</t>
  </si>
  <si>
    <t xml:space="preserve">Jumlah
Seharusnya Dipakai (Rp)</t>
  </si>
  <si>
    <t xml:space="preserve">Jumlah
Yang Dipakai (Rp)</t>
  </si>
  <si>
    <t xml:space="preserve">Sisa Dana
Bahan Baku (Rp)</t>
  </si>
  <si>
    <t xml:space="preserve">Sisa Dana
OPS (Rp)</t>
  </si>
  <si>
    <t xml:space="preserve">Sisa Total
OPS &amp; Baku (Rp)</t>
  </si>
  <si>
    <t xml:space="preserve">Sisa General (Rp)</t>
  </si>
  <si>
    <t xml:space="preserve">Sisa Saldo
Qlola Sebelum TF</t>
  </si>
  <si>
    <t xml:space="preserve">Sisa Saldo
Qlola Sekarang</t>
  </si>
  <si>
    <t xml:space="preserve">Nov 2025 – Jan 2026</t>
  </si>
  <si>
    <t xml:space="preserve">▌ RINGKASAN KOMPONEN PENGELUARAN</t>
  </si>
  <si>
    <t xml:space="preserve">Budget/Anggaran (Rp)</t>
  </si>
  <si>
    <t xml:space="preserve">Realisasi Terpakai (Rp)</t>
  </si>
  <si>
    <t xml:space="preserve">% Penggunaan</t>
  </si>
  <si>
    <t xml:space="preserve">Catatan: Selisih didapat dari penggunaan sewa. Data belum termasuk hari ke-8, 9, 10 (15-17 Januari 2026).</t>
  </si>
  <si>
    <t xml:space="preserve">Battuwinangun, 17 Januari 2026</t>
  </si>
  <si>
    <t xml:space="preserve">Owner Hartono Family Catering</t>
  </si>
  <si>
    <t xml:space="preserve">Kepala SPPG Batuwinangun</t>
  </si>
  <si>
    <t xml:space="preserve">Staff Akuntan</t>
  </si>
  <si>
    <t xml:space="preserve">(ENDANG RESMININGSIH)</t>
  </si>
  <si>
    <t xml:space="preserve">(ALFIANSAH PRASTYO S.KEL)</t>
  </si>
  <si>
    <t xml:space="preserve">(NADIA PUSPITA NINGRUM S.AK)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</si>
</sst>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12"/>
      <color rgb="FF1B3A6B"/>
      <name val="Arial"/>
      <family val="0"/>
      <charset val="1"/>
    </font>
    <font>
      <b val="true"/>
      <sz val="13"/>
      <color rgb="FF1B3A6B"/>
      <name val="Arial"/>
      <family val="0"/>
      <charset val="1"/>
    </font>
    <font>
      <b val="true"/>
      <sz val="13"/>
      <color rgb="FF8B1A1A"/>
      <name val="Arial"/>
      <family val="0"/>
      <charset val="1"/>
    </font>
    <font>
      <b val="true"/>
      <sz val="13"/>
      <color rgb="FF1A6B3C"/>
      <name val="Arial"/>
      <family val="0"/>
      <charset val="1"/>
    </font>
    <font>
      <b val="true"/>
      <sz val="11"/>
      <color rgb="FFE67E22"/>
      <name val="Arial"/>
      <family val="0"/>
      <charset val="1"/>
    </font>
    <font>
      <b val="true"/>
      <sz val="11"/>
      <color rgb="FF6C3483"/>
      <name val="Arial"/>
      <family val="0"/>
      <charset val="1"/>
    </font>
    <font>
      <b val="true"/>
      <sz val="11"/>
      <color rgb="FF0D6E8A"/>
      <name val="Arial"/>
      <family val="0"/>
      <charset val="1"/>
    </font>
    <font>
      <b val="true"/>
      <sz val="11"/>
      <color rgb="FF2C3E5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sz val="10"/>
      <color rgb="FF1A1A2E"/>
      <name val="Arial"/>
      <family val="0"/>
      <charset val="1"/>
    </font>
    <font>
      <sz val="10"/>
      <color rgb="FF4A4A6A"/>
      <name val="Arial"/>
      <family val="0"/>
      <charset val="1"/>
    </font>
    <font>
      <i val="true"/>
      <sz val="9"/>
      <color rgb="FF4A4A6A"/>
      <name val="Arial"/>
      <family val="0"/>
      <charset val="1"/>
    </font>
    <font>
      <sz val="9"/>
      <color rgb="FF4A4A6A"/>
      <name val="Arial"/>
      <family val="0"/>
      <charset val="1"/>
    </font>
    <font>
      <sz val="10"/>
      <color rgb="FF1A6B3C"/>
      <name val="Arial"/>
      <family val="0"/>
      <charset val="1"/>
    </font>
    <font>
      <i val="true"/>
      <sz val="8"/>
      <color rgb="FF4A4A6A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0"/>
      <color rgb="FF1B3A6B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4A4A6A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8B1A1A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B3A6B"/>
        <bgColor rgb="FF2C3E50"/>
      </patternFill>
    </fill>
    <fill>
      <patternFill patternType="solid">
        <fgColor rgb="FF0D6E8A"/>
        <bgColor rgb="FF008080"/>
      </patternFill>
    </fill>
    <fill>
      <patternFill patternType="solid">
        <fgColor rgb="FFE8F2FF"/>
        <bgColor rgb="FFF7F8FA"/>
      </patternFill>
    </fill>
    <fill>
      <patternFill patternType="solid">
        <fgColor rgb="FFFDE8E8"/>
        <bgColor rgb="FFFFF0D4"/>
      </patternFill>
    </fill>
    <fill>
      <patternFill patternType="solid">
        <fgColor rgb="FFD6F0E0"/>
        <bgColor rgb="FFE8F2FF"/>
      </patternFill>
    </fill>
    <fill>
      <patternFill patternType="solid">
        <fgColor rgb="FFFFF0D4"/>
        <bgColor rgb="FFFFF8E7"/>
      </patternFill>
    </fill>
    <fill>
      <patternFill patternType="solid">
        <fgColor rgb="FFF7F8FA"/>
        <bgColor rgb="FFFFFFFF"/>
      </patternFill>
    </fill>
    <fill>
      <patternFill patternType="solid">
        <fgColor rgb="FF2C3E50"/>
        <bgColor rgb="FF1B3A6B"/>
      </patternFill>
    </fill>
    <fill>
      <patternFill patternType="solid">
        <fgColor rgb="FFFFFFFF"/>
        <bgColor rgb="FFF7F8FA"/>
      </patternFill>
    </fill>
    <fill>
      <patternFill patternType="solid">
        <fgColor rgb="FFFFF8E7"/>
        <bgColor rgb="FFF7F8FA"/>
      </patternFill>
    </fill>
    <fill>
      <patternFill patternType="solid">
        <fgColor rgb="FFE67E22"/>
        <bgColor rgb="FFC8962A"/>
      </patternFill>
    </fill>
    <fill>
      <patternFill patternType="solid">
        <fgColor rgb="FF6C3483"/>
        <bgColor rgb="FF4A4A6A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/>
      <top style="thin">
        <color rgb="FFBDC3C7"/>
      </top>
      <bottom style="thin">
        <color rgb="FFBDC3C7"/>
      </bottom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0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0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6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8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32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6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6B3C"/>
      <rgbColor rgb="FF000080"/>
      <rgbColor rgb="FF808000"/>
      <rgbColor rgb="FF800080"/>
      <rgbColor rgb="FF0D6E8A"/>
      <rgbColor rgb="FFBDC3C7"/>
      <rgbColor rgb="FF878787"/>
      <rgbColor rgb="FF9999FF"/>
      <rgbColor rgb="FF6C3483"/>
      <rgbColor rgb="FFFFF8E7"/>
      <rgbColor rgb="FFE8F2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8FA"/>
      <rgbColor rgb="FFD6F0E0"/>
      <rgbColor rgb="FFFFF0D4"/>
      <rgbColor rgb="FF99CCFF"/>
      <rgbColor rgb="FFFF99CC"/>
      <rgbColor rgb="FFCC99FF"/>
      <rgbColor rgb="FFFDE8E8"/>
      <rgbColor rgb="FF3366FF"/>
      <rgbColor rgb="FF33CCCC"/>
      <rgbColor rgb="FF99CC00"/>
      <rgbColor rgb="FFFFCC00"/>
      <rgbColor rgb="FFC8962A"/>
      <rgbColor rgb="FFE67E22"/>
      <rgbColor rgb="FF4F81BD"/>
      <rgbColor rgb="FF969696"/>
      <rgbColor rgb="FF1B3A6B"/>
      <rgbColor rgb="FF339966"/>
      <rgbColor rgb="FF003300"/>
      <rgbColor rgb="FF1A1A2E"/>
      <rgbColor rgb="FF8B1A1A"/>
      <rgbColor rgb="FF993366"/>
      <rgbColor rgb="FF4A4A6A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Komposisi Pengeluaran Per Hari (Rp)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'📈 GRAFIK'!B3</c:f>
              <c:strCache>
                <c:ptCount val="1"/>
                <c:pt idx="0">
                  <c:v>Bahan Pangan</c:v>
                </c:pt>
              </c:strCache>
            </c:strRef>
          </c:tx>
          <c:spPr>
            <a:solidFill>
              <a:srgbClr val="1b3a6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GRAFIK'!$A$4:$A$13</c:f>
              <c:strCache>
                <c:ptCount val="10"/>
                <c:pt idx="0">
                  <c:v>8 Jan 2026</c:v>
                </c:pt>
                <c:pt idx="1">
                  <c:v>9 Jan 2026</c:v>
                </c:pt>
                <c:pt idx="2">
                  <c:v>10 Jan 2026</c:v>
                </c:pt>
                <c:pt idx="3">
                  <c:v>11 Jan 2026</c:v>
                </c:pt>
                <c:pt idx="4">
                  <c:v>12 Jan 2026</c:v>
                </c:pt>
                <c:pt idx="5">
                  <c:v>13 Jan 2026</c:v>
                </c:pt>
                <c:pt idx="6">
                  <c:v>14 Jan 2026</c:v>
                </c:pt>
                <c:pt idx="7">
                  <c:v>15 Jan 2026</c:v>
                </c:pt>
                <c:pt idx="8">
                  <c:v>16 Jan 2026</c:v>
                </c:pt>
                <c:pt idx="9">
                  <c:v>17 Jan 2026</c:v>
                </c:pt>
              </c:strCache>
            </c:strRef>
          </c:cat>
          <c:val>
            <c:numRef>
              <c:f>'📈 GRAFIK'!$B$4:$B$13</c:f>
              <c:numCache>
                <c:formatCode>General</c:formatCode>
                <c:ptCount val="10"/>
                <c:pt idx="0">
                  <c:v>25263000</c:v>
                </c:pt>
                <c:pt idx="1">
                  <c:v>31268000</c:v>
                </c:pt>
                <c:pt idx="2">
                  <c:v>21349100</c:v>
                </c:pt>
                <c:pt idx="3">
                  <c:v>24797200</c:v>
                </c:pt>
                <c:pt idx="4">
                  <c:v>20779200</c:v>
                </c:pt>
                <c:pt idx="5">
                  <c:v>37375200</c:v>
                </c:pt>
                <c:pt idx="6">
                  <c:v>50096700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strRef>
              <c:f>'📈 GRAFIK'!C3</c:f>
              <c:strCache>
                <c:ptCount val="1"/>
                <c:pt idx="0">
                  <c:v>Operasional</c:v>
                </c:pt>
              </c:strCache>
            </c:strRef>
          </c:tx>
          <c:spPr>
            <a:solidFill>
              <a:srgbClr val="c8962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GRAFIK'!$A$4:$A$13</c:f>
              <c:strCache>
                <c:ptCount val="10"/>
                <c:pt idx="0">
                  <c:v>8 Jan 2026</c:v>
                </c:pt>
                <c:pt idx="1">
                  <c:v>9 Jan 2026</c:v>
                </c:pt>
                <c:pt idx="2">
                  <c:v>10 Jan 2026</c:v>
                </c:pt>
                <c:pt idx="3">
                  <c:v>11 Jan 2026</c:v>
                </c:pt>
                <c:pt idx="4">
                  <c:v>12 Jan 2026</c:v>
                </c:pt>
                <c:pt idx="5">
                  <c:v>13 Jan 2026</c:v>
                </c:pt>
                <c:pt idx="6">
                  <c:v>14 Jan 2026</c:v>
                </c:pt>
                <c:pt idx="7">
                  <c:v>15 Jan 2026</c:v>
                </c:pt>
                <c:pt idx="8">
                  <c:v>16 Jan 2026</c:v>
                </c:pt>
                <c:pt idx="9">
                  <c:v>17 Jan 2026</c:v>
                </c:pt>
              </c:strCache>
            </c:strRef>
          </c:cat>
          <c:val>
            <c:numRef>
              <c:f>'📈 GRAFIK'!$C$4:$C$13</c:f>
              <c:numCache>
                <c:formatCode>General</c:formatCode>
                <c:ptCount val="10"/>
                <c:pt idx="0">
                  <c:v>1940000</c:v>
                </c:pt>
                <c:pt idx="1">
                  <c:v>6862300</c:v>
                </c:pt>
                <c:pt idx="2">
                  <c:v>1848324</c:v>
                </c:pt>
                <c:pt idx="3">
                  <c:v>1660000</c:v>
                </c:pt>
                <c:pt idx="4">
                  <c:v>3519614</c:v>
                </c:pt>
                <c:pt idx="5">
                  <c:v>1660000</c:v>
                </c:pt>
                <c:pt idx="6">
                  <c:v>2580000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2"/>
          <c:order val="2"/>
          <c:tx>
            <c:strRef>
              <c:f>'📈 GRAFIK'!D3</c:f>
              <c:strCache>
                <c:ptCount val="1"/>
                <c:pt idx="0">
                  <c:v>Sewa</c:v>
                </c:pt>
              </c:strCache>
            </c:strRef>
          </c:tx>
          <c:spPr>
            <a:solidFill>
              <a:srgbClr val="0d6e8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GRAFIK'!$A$4:$A$13</c:f>
              <c:strCache>
                <c:ptCount val="10"/>
                <c:pt idx="0">
                  <c:v>8 Jan 2026</c:v>
                </c:pt>
                <c:pt idx="1">
                  <c:v>9 Jan 2026</c:v>
                </c:pt>
                <c:pt idx="2">
                  <c:v>10 Jan 2026</c:v>
                </c:pt>
                <c:pt idx="3">
                  <c:v>11 Jan 2026</c:v>
                </c:pt>
                <c:pt idx="4">
                  <c:v>12 Jan 2026</c:v>
                </c:pt>
                <c:pt idx="5">
                  <c:v>13 Jan 2026</c:v>
                </c:pt>
                <c:pt idx="6">
                  <c:v>14 Jan 2026</c:v>
                </c:pt>
                <c:pt idx="7">
                  <c:v>15 Jan 2026</c:v>
                </c:pt>
                <c:pt idx="8">
                  <c:v>16 Jan 2026</c:v>
                </c:pt>
                <c:pt idx="9">
                  <c:v>17 Jan 2026</c:v>
                </c:pt>
              </c:strCache>
            </c:strRef>
          </c:cat>
          <c:val>
            <c:numRef>
              <c:f>'📈 GRAFIK'!$D$4:$D$13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48000000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gapWidth val="150"/>
        <c:overlap val="100"/>
        <c:axId val="76630202"/>
        <c:axId val="13343903"/>
      </c:barChart>
      <c:catAx>
        <c:axId val="7663020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Tanggal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343903"/>
        <c:crosses val="autoZero"/>
        <c:auto val="1"/>
        <c:lblAlgn val="ctr"/>
        <c:lblOffset val="100"/>
        <c:noMultiLvlLbl val="0"/>
      </c:catAx>
      <c:valAx>
        <c:axId val="133439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Jumlah (Rp)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63020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Tren Saldo Kas (Rp)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'📈 GRAFIK'!F3</c:f>
              <c:strCache>
                <c:ptCount val="1"/>
                <c:pt idx="0">
                  <c:v>Saldo Akhir</c:v>
                </c:pt>
              </c:strCache>
            </c:strRef>
          </c:tx>
          <c:spPr>
            <a:solidFill>
              <a:srgbClr val="1b3a6b"/>
            </a:solidFill>
            <a:ln w="24840">
              <a:solidFill>
                <a:srgbClr val="1b3a6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GRAFIK'!$A$4:$A$13</c:f>
              <c:strCache>
                <c:ptCount val="10"/>
                <c:pt idx="0">
                  <c:v>8 Jan 2026</c:v>
                </c:pt>
                <c:pt idx="1">
                  <c:v>9 Jan 2026</c:v>
                </c:pt>
                <c:pt idx="2">
                  <c:v>10 Jan 2026</c:v>
                </c:pt>
                <c:pt idx="3">
                  <c:v>11 Jan 2026</c:v>
                </c:pt>
                <c:pt idx="4">
                  <c:v>12 Jan 2026</c:v>
                </c:pt>
                <c:pt idx="5">
                  <c:v>13 Jan 2026</c:v>
                </c:pt>
                <c:pt idx="6">
                  <c:v>14 Jan 2026</c:v>
                </c:pt>
                <c:pt idx="7">
                  <c:v>15 Jan 2026</c:v>
                </c:pt>
                <c:pt idx="8">
                  <c:v>16 Jan 2026</c:v>
                </c:pt>
                <c:pt idx="9">
                  <c:v>17 Jan 2026</c:v>
                </c:pt>
              </c:strCache>
            </c:strRef>
          </c:cat>
          <c:val>
            <c:numRef>
              <c:f>'📈 GRAFIK'!$F$4:$F$13</c:f>
              <c:numCache>
                <c:formatCode>General</c:formatCode>
                <c:ptCount val="10"/>
                <c:pt idx="0">
                  <c:v>472797000</c:v>
                </c:pt>
                <c:pt idx="1">
                  <c:v>434666700</c:v>
                </c:pt>
                <c:pt idx="2">
                  <c:v>363469276</c:v>
                </c:pt>
                <c:pt idx="3">
                  <c:v>337012076</c:v>
                </c:pt>
                <c:pt idx="4">
                  <c:v>312713262</c:v>
                </c:pt>
                <c:pt idx="5">
                  <c:v>273678062</c:v>
                </c:pt>
                <c:pt idx="6">
                  <c:v>221001362</c:v>
                </c:pt>
                <c:pt idx="7">
                  <c:v>221001362</c:v>
                </c:pt>
                <c:pt idx="8">
                  <c:v>221001362</c:v>
                </c:pt>
                <c:pt idx="9">
                  <c:v>221001362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2412250"/>
        <c:axId val="28176900"/>
      </c:lineChart>
      <c:catAx>
        <c:axId val="5241225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Tanggal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176900"/>
        <c:crosses val="autoZero"/>
        <c:auto val="1"/>
        <c:lblAlgn val="ctr"/>
        <c:lblOffset val="100"/>
        <c:noMultiLvlLbl val="0"/>
      </c:catAx>
      <c:valAx>
        <c:axId val="281769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Saldo (Rp)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41225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Distribusi Total Pengeluaran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'📈 GRAFIK'!I3</c:f>
              <c:strCache>
                <c:ptCount val="1"/>
                <c:pt idx="0">
                  <c:v>Jumlah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b3a6b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8962a"/>
              </a:solidFill>
              <a:ln w="0">
                <a:noFill/>
              </a:ln>
            </c:spPr>
          </c:dPt>
          <c:dPt>
            <c:idx val="2"/>
            <c:spPr>
              <a:solidFill>
                <a:srgbClr val="0d6e8a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'📈 GRAFIK'!$H$4:$H$6</c:f>
              <c:strCache>
                <c:ptCount val="3"/>
                <c:pt idx="0">
                  <c:v>Bahan Pangan</c:v>
                </c:pt>
                <c:pt idx="1">
                  <c:v>Operasional</c:v>
                </c:pt>
                <c:pt idx="2">
                  <c:v>Sewa</c:v>
                </c:pt>
              </c:strCache>
            </c:strRef>
          </c:cat>
          <c:val>
            <c:numRef>
              <c:f>'📈 GRAFIK'!$I$4:$I$6</c:f>
              <c:numCache>
                <c:formatCode>General</c:formatCode>
                <c:ptCount val="3"/>
                <c:pt idx="0">
                  <c:v>210928400</c:v>
                </c:pt>
                <c:pt idx="1">
                  <c:v>20070238</c:v>
                </c:pt>
                <c:pt idx="2">
                  <c:v>48000000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14</xdr:row>
      <xdr:rowOff>0</xdr:rowOff>
    </xdr:from>
    <xdr:to>
      <xdr:col>7</xdr:col>
      <xdr:colOff>503640</xdr:colOff>
      <xdr:row>40</xdr:row>
      <xdr:rowOff>86400</xdr:rowOff>
    </xdr:to>
    <xdr:graphicFrame>
      <xdr:nvGraphicFramePr>
        <xdr:cNvPr id="0" name="Chart 1"/>
        <xdr:cNvGraphicFramePr/>
      </xdr:nvGraphicFramePr>
      <xdr:xfrm>
        <a:off x="0" y="3019320"/>
        <a:ext cx="719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14</xdr:row>
      <xdr:rowOff>0</xdr:rowOff>
    </xdr:from>
    <xdr:to>
      <xdr:col>16</xdr:col>
      <xdr:colOff>549360</xdr:colOff>
      <xdr:row>40</xdr:row>
      <xdr:rowOff>86400</xdr:rowOff>
    </xdr:to>
    <xdr:graphicFrame>
      <xdr:nvGraphicFramePr>
        <xdr:cNvPr id="1" name="Chart 2"/>
        <xdr:cNvGraphicFramePr/>
      </xdr:nvGraphicFramePr>
      <xdr:xfrm>
        <a:off x="6696000" y="3019320"/>
        <a:ext cx="719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35</xdr:row>
      <xdr:rowOff>0</xdr:rowOff>
    </xdr:from>
    <xdr:to>
      <xdr:col>5</xdr:col>
      <xdr:colOff>105840</xdr:colOff>
      <xdr:row>61</xdr:row>
      <xdr:rowOff>86760</xdr:rowOff>
    </xdr:to>
    <xdr:graphicFrame>
      <xdr:nvGraphicFramePr>
        <xdr:cNvPr id="2" name="Chart 3"/>
        <xdr:cNvGraphicFramePr/>
      </xdr:nvGraphicFramePr>
      <xdr:xfrm>
        <a:off x="0" y="7020000"/>
        <a:ext cx="503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31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9" min="3" style="0" width="14"/>
    <col collapsed="false" customWidth="true" hidden="false" outlineLevel="0" max="10" min="10" style="0" width="3"/>
  </cols>
  <sheetData>
    <row r="1" customFormat="false" ht="7.5" hidden="false" customHeight="true" outlineLevel="0" collapsed="false"/>
    <row r="2" customFormat="false" ht="49.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</row>
    <row r="3" customFormat="false" ht="19.5" hidden="false" customHeight="true" outlineLevel="0" collapsed="false">
      <c r="B3" s="2" t="s">
        <v>1</v>
      </c>
      <c r="C3" s="2"/>
      <c r="D3" s="2"/>
      <c r="E3" s="2"/>
      <c r="F3" s="2"/>
      <c r="G3" s="2"/>
      <c r="H3" s="2"/>
      <c r="I3" s="2"/>
    </row>
    <row r="4" customFormat="false" ht="9.75" hidden="false" customHeight="true" outlineLevel="0" collapsed="false"/>
    <row r="5" customFormat="false" ht="15.75" hidden="false" customHeight="true" outlineLevel="0" collapsed="false">
      <c r="B5" s="3" t="s">
        <v>2</v>
      </c>
      <c r="C5" s="3"/>
      <c r="D5" s="3"/>
      <c r="E5" s="3"/>
      <c r="F5" s="3"/>
      <c r="G5" s="3"/>
      <c r="H5" s="3"/>
      <c r="I5" s="3"/>
    </row>
    <row r="6" customFormat="false" ht="60" hidden="false" customHeight="true" outlineLevel="0" collapsed="false">
      <c r="B6" s="4" t="s">
        <v>3</v>
      </c>
      <c r="C6" s="4"/>
      <c r="D6" s="4"/>
      <c r="E6" s="5" t="s">
        <v>4</v>
      </c>
      <c r="F6" s="5"/>
      <c r="G6" s="6" t="s">
        <v>5</v>
      </c>
      <c r="H6" s="6"/>
      <c r="I6" s="6"/>
    </row>
    <row r="7" customFormat="false" ht="60" hidden="false" customHeight="true" outlineLevel="0" collapsed="false">
      <c r="B7" s="7" t="s">
        <v>6</v>
      </c>
      <c r="C7" s="7"/>
      <c r="D7" s="8" t="s">
        <v>7</v>
      </c>
      <c r="E7" s="8"/>
      <c r="F7" s="9" t="s">
        <v>8</v>
      </c>
      <c r="G7" s="9"/>
      <c r="H7" s="10" t="s">
        <v>9</v>
      </c>
      <c r="I7" s="10"/>
    </row>
    <row r="9" customFormat="false" ht="12" hidden="false" customHeight="true" outlineLevel="0" collapsed="false">
      <c r="B9" s="3" t="s">
        <v>10</v>
      </c>
      <c r="C9" s="3"/>
      <c r="D9" s="3"/>
      <c r="E9" s="3"/>
      <c r="F9" s="3"/>
      <c r="G9" s="3"/>
      <c r="H9" s="3"/>
      <c r="I9" s="3"/>
    </row>
    <row r="10" customFormat="false" ht="30" hidden="false" customHeight="true" outlineLevel="0" collapsed="false">
      <c r="B10" s="11" t="s">
        <v>11</v>
      </c>
      <c r="C10" s="11" t="s">
        <v>12</v>
      </c>
      <c r="D10" s="11" t="s">
        <v>13</v>
      </c>
      <c r="E10" s="11" t="s">
        <v>14</v>
      </c>
      <c r="F10" s="11" t="s">
        <v>15</v>
      </c>
      <c r="G10" s="11" t="s">
        <v>16</v>
      </c>
      <c r="H10" s="11" t="s">
        <v>17</v>
      </c>
      <c r="I10" s="11" t="s">
        <v>18</v>
      </c>
    </row>
    <row r="11" customFormat="false" ht="19.5" hidden="false" customHeight="true" outlineLevel="0" collapsed="false">
      <c r="B11" s="12" t="n">
        <v>1</v>
      </c>
      <c r="C11" s="13" t="s">
        <v>19</v>
      </c>
      <c r="D11" s="14" t="n">
        <v>25263000</v>
      </c>
      <c r="E11" s="14" t="n">
        <v>1940000</v>
      </c>
      <c r="F11" s="14" t="n">
        <v>0</v>
      </c>
      <c r="G11" s="14" t="n">
        <v>27203000</v>
      </c>
      <c r="H11" s="14" t="n">
        <v>500000000</v>
      </c>
      <c r="I11" s="14" t="n">
        <v>472797000</v>
      </c>
    </row>
    <row r="12" customFormat="false" ht="19.5" hidden="false" customHeight="true" outlineLevel="0" collapsed="false">
      <c r="B12" s="15" t="n">
        <v>2</v>
      </c>
      <c r="C12" s="16" t="s">
        <v>20</v>
      </c>
      <c r="D12" s="17" t="n">
        <v>31268000</v>
      </c>
      <c r="E12" s="17" t="n">
        <v>6862300</v>
      </c>
      <c r="F12" s="17" t="n">
        <v>0</v>
      </c>
      <c r="G12" s="17" t="n">
        <v>38130300</v>
      </c>
      <c r="H12" s="17" t="n">
        <v>472797000</v>
      </c>
      <c r="I12" s="17" t="n">
        <v>434666700</v>
      </c>
    </row>
    <row r="13" customFormat="false" ht="19.5" hidden="false" customHeight="true" outlineLevel="0" collapsed="false">
      <c r="B13" s="12" t="n">
        <v>3</v>
      </c>
      <c r="C13" s="13" t="s">
        <v>21</v>
      </c>
      <c r="D13" s="14" t="n">
        <v>21349100</v>
      </c>
      <c r="E13" s="14" t="n">
        <v>1848324</v>
      </c>
      <c r="F13" s="14" t="n">
        <v>48000000</v>
      </c>
      <c r="G13" s="14" t="n">
        <v>71197424</v>
      </c>
      <c r="H13" s="14" t="n">
        <v>434666700</v>
      </c>
      <c r="I13" s="14" t="n">
        <v>363469276</v>
      </c>
    </row>
    <row r="14" customFormat="false" ht="19.5" hidden="false" customHeight="true" outlineLevel="0" collapsed="false">
      <c r="B14" s="15" t="n">
        <v>4</v>
      </c>
      <c r="C14" s="16" t="s">
        <v>22</v>
      </c>
      <c r="D14" s="17" t="n">
        <v>24797200</v>
      </c>
      <c r="E14" s="17" t="n">
        <v>1660000</v>
      </c>
      <c r="F14" s="17" t="n">
        <v>0</v>
      </c>
      <c r="G14" s="17" t="n">
        <v>26457200</v>
      </c>
      <c r="H14" s="17" t="n">
        <v>363469276</v>
      </c>
      <c r="I14" s="17" t="n">
        <v>337012076</v>
      </c>
    </row>
    <row r="15" customFormat="false" ht="19.5" hidden="false" customHeight="true" outlineLevel="0" collapsed="false">
      <c r="B15" s="12" t="n">
        <v>5</v>
      </c>
      <c r="C15" s="13" t="s">
        <v>23</v>
      </c>
      <c r="D15" s="14" t="n">
        <v>20779200</v>
      </c>
      <c r="E15" s="14" t="n">
        <v>3519614</v>
      </c>
      <c r="F15" s="14" t="n">
        <v>0</v>
      </c>
      <c r="G15" s="14" t="n">
        <v>24298814</v>
      </c>
      <c r="H15" s="14" t="n">
        <v>337012076</v>
      </c>
      <c r="I15" s="14" t="n">
        <v>312713262</v>
      </c>
    </row>
    <row r="16" customFormat="false" ht="19.5" hidden="false" customHeight="true" outlineLevel="0" collapsed="false">
      <c r="B16" s="15" t="n">
        <v>6</v>
      </c>
      <c r="C16" s="16" t="s">
        <v>24</v>
      </c>
      <c r="D16" s="17" t="n">
        <v>37375200</v>
      </c>
      <c r="E16" s="17" t="n">
        <v>1660000</v>
      </c>
      <c r="F16" s="17" t="n">
        <v>0</v>
      </c>
      <c r="G16" s="17" t="n">
        <v>39035200</v>
      </c>
      <c r="H16" s="17" t="n">
        <v>312713262</v>
      </c>
      <c r="I16" s="17" t="n">
        <v>273678062</v>
      </c>
    </row>
    <row r="17" customFormat="false" ht="19.5" hidden="false" customHeight="true" outlineLevel="0" collapsed="false">
      <c r="B17" s="12" t="n">
        <v>7</v>
      </c>
      <c r="C17" s="13" t="s">
        <v>25</v>
      </c>
      <c r="D17" s="14" t="n">
        <v>50096700</v>
      </c>
      <c r="E17" s="14" t="n">
        <v>2580000</v>
      </c>
      <c r="F17" s="14" t="n">
        <v>0</v>
      </c>
      <c r="G17" s="14" t="n">
        <v>52676700</v>
      </c>
      <c r="H17" s="14" t="n">
        <v>273678062</v>
      </c>
      <c r="I17" s="14" t="n">
        <v>221001362</v>
      </c>
    </row>
    <row r="18" customFormat="false" ht="19.5" hidden="false" customHeight="true" outlineLevel="0" collapsed="false">
      <c r="B18" s="15" t="n">
        <v>8</v>
      </c>
      <c r="C18" s="18" t="s">
        <v>26</v>
      </c>
      <c r="D18" s="19" t="s">
        <v>27</v>
      </c>
      <c r="E18" s="20" t="s">
        <v>28</v>
      </c>
      <c r="F18" s="20" t="s">
        <v>28</v>
      </c>
      <c r="G18" s="20" t="s">
        <v>28</v>
      </c>
      <c r="H18" s="20" t="s">
        <v>28</v>
      </c>
      <c r="I18" s="20" t="s">
        <v>28</v>
      </c>
    </row>
    <row r="19" customFormat="false" ht="19.5" hidden="false" customHeight="true" outlineLevel="0" collapsed="false">
      <c r="B19" s="12" t="n">
        <v>9</v>
      </c>
      <c r="C19" s="21" t="s">
        <v>29</v>
      </c>
      <c r="D19" s="22" t="s">
        <v>27</v>
      </c>
      <c r="E19" s="23" t="s">
        <v>28</v>
      </c>
      <c r="F19" s="23" t="s">
        <v>28</v>
      </c>
      <c r="G19" s="23" t="s">
        <v>28</v>
      </c>
      <c r="H19" s="23" t="s">
        <v>28</v>
      </c>
      <c r="I19" s="23" t="s">
        <v>28</v>
      </c>
    </row>
    <row r="20" customFormat="false" ht="19.5" hidden="false" customHeight="true" outlineLevel="0" collapsed="false">
      <c r="B20" s="15" t="n">
        <v>10</v>
      </c>
      <c r="C20" s="18" t="s">
        <v>30</v>
      </c>
      <c r="D20" s="19" t="s">
        <v>27</v>
      </c>
      <c r="E20" s="20" t="s">
        <v>28</v>
      </c>
      <c r="F20" s="20" t="s">
        <v>28</v>
      </c>
      <c r="G20" s="20" t="s">
        <v>28</v>
      </c>
      <c r="H20" s="20" t="s">
        <v>28</v>
      </c>
      <c r="I20" s="20" t="s">
        <v>28</v>
      </c>
    </row>
    <row r="21" customFormat="false" ht="21.75" hidden="false" customHeight="true" outlineLevel="0" collapsed="false">
      <c r="B21" s="24" t="s">
        <v>31</v>
      </c>
      <c r="C21" s="24"/>
      <c r="D21" s="25" t="n">
        <v>210928400</v>
      </c>
      <c r="E21" s="25" t="n">
        <v>20070238</v>
      </c>
      <c r="F21" s="25" t="n">
        <v>48000000</v>
      </c>
      <c r="G21" s="25" t="n">
        <v>278998638</v>
      </c>
      <c r="H21" s="26" t="s">
        <v>28</v>
      </c>
      <c r="I21" s="26" t="s">
        <v>28</v>
      </c>
    </row>
    <row r="23" customFormat="false" ht="15" hidden="false" customHeight="false" outlineLevel="0" collapsed="false">
      <c r="B23" s="3" t="s">
        <v>32</v>
      </c>
      <c r="C23" s="3"/>
      <c r="D23" s="3"/>
      <c r="E23" s="3"/>
      <c r="F23" s="3"/>
      <c r="G23" s="3"/>
      <c r="H23" s="3"/>
      <c r="I23" s="3"/>
    </row>
    <row r="24" customFormat="false" ht="27.75" hidden="false" customHeight="true" outlineLevel="0" collapsed="false">
      <c r="B24" s="27" t="s">
        <v>33</v>
      </c>
      <c r="C24" s="27" t="s">
        <v>34</v>
      </c>
      <c r="D24" s="27" t="s">
        <v>35</v>
      </c>
      <c r="E24" s="27" t="s">
        <v>36</v>
      </c>
      <c r="F24" s="27" t="s">
        <v>37</v>
      </c>
      <c r="G24" s="27"/>
      <c r="H24" s="27"/>
      <c r="I24" s="27" t="s">
        <v>38</v>
      </c>
    </row>
    <row r="25" customFormat="false" ht="19.5" hidden="false" customHeight="true" outlineLevel="0" collapsed="false">
      <c r="B25" s="12" t="s">
        <v>39</v>
      </c>
      <c r="C25" s="14" t="n">
        <v>77880100</v>
      </c>
      <c r="D25" s="14" t="n">
        <v>77880100</v>
      </c>
      <c r="E25" s="28" t="n">
        <v>0</v>
      </c>
      <c r="F25" s="13" t="s">
        <v>40</v>
      </c>
      <c r="G25" s="13"/>
      <c r="H25" s="13"/>
      <c r="I25" s="13" t="s">
        <v>41</v>
      </c>
    </row>
    <row r="26" customFormat="false" ht="19.5" hidden="false" customHeight="true" outlineLevel="0" collapsed="false">
      <c r="B26" s="15" t="s">
        <v>42</v>
      </c>
      <c r="C26" s="17" t="n">
        <v>10650624</v>
      </c>
      <c r="D26" s="17" t="n">
        <v>10650624</v>
      </c>
      <c r="E26" s="29" t="n">
        <v>0</v>
      </c>
      <c r="F26" s="16" t="s">
        <v>40</v>
      </c>
      <c r="G26" s="16"/>
      <c r="H26" s="16"/>
      <c r="I26" s="16" t="s">
        <v>41</v>
      </c>
    </row>
    <row r="27" customFormat="false" ht="19.5" hidden="false" customHeight="true" outlineLevel="0" collapsed="false">
      <c r="B27" s="12" t="s">
        <v>43</v>
      </c>
      <c r="C27" s="14" t="n">
        <v>48000000</v>
      </c>
      <c r="D27" s="14" t="n">
        <v>48000000</v>
      </c>
      <c r="E27" s="28" t="n">
        <v>0</v>
      </c>
      <c r="F27" s="13" t="s">
        <v>40</v>
      </c>
      <c r="G27" s="13"/>
      <c r="H27" s="13"/>
      <c r="I27" s="13" t="s">
        <v>41</v>
      </c>
    </row>
    <row r="29" customFormat="false" ht="30" hidden="false" customHeight="true" outlineLevel="0" collapsed="false">
      <c r="B29" s="30" t="s">
        <v>44</v>
      </c>
      <c r="C29" s="30"/>
      <c r="D29" s="30"/>
      <c r="E29" s="30"/>
      <c r="F29" s="30"/>
      <c r="G29" s="30"/>
      <c r="H29" s="30"/>
      <c r="I29" s="30"/>
    </row>
    <row r="31" customFormat="false" ht="15" hidden="false" customHeight="false" outlineLevel="0" collapsed="false">
      <c r="B31" s="31" t="s">
        <v>45</v>
      </c>
      <c r="C31" s="31"/>
      <c r="D31" s="31"/>
      <c r="E31" s="31"/>
      <c r="F31" s="31"/>
      <c r="G31" s="31"/>
      <c r="H31" s="31"/>
      <c r="I31" s="31"/>
    </row>
  </sheetData>
  <mergeCells count="19">
    <mergeCell ref="B2:I2"/>
    <mergeCell ref="B3:I3"/>
    <mergeCell ref="B5:I5"/>
    <mergeCell ref="B6:D6"/>
    <mergeCell ref="E6:F6"/>
    <mergeCell ref="G6:I6"/>
    <mergeCell ref="B7:C7"/>
    <mergeCell ref="D7:E7"/>
    <mergeCell ref="F7:G7"/>
    <mergeCell ref="H7:I7"/>
    <mergeCell ref="B9:I9"/>
    <mergeCell ref="B21:C21"/>
    <mergeCell ref="B23:I23"/>
    <mergeCell ref="F24:H24"/>
    <mergeCell ref="F25:H25"/>
    <mergeCell ref="F26:H26"/>
    <mergeCell ref="F27:H27"/>
    <mergeCell ref="B29:I29"/>
    <mergeCell ref="B31:I31"/>
  </mergeCells>
  <printOptions headings="false" gridLines="false" gridLinesSet="true" horizontalCentered="false" verticalCentered="false"/>
  <pageMargins left="0.5" right="0.5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U2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32"/>
    <col collapsed="false" customWidth="true" hidden="false" outlineLevel="0" max="9" min="7" style="0" width="16"/>
    <col collapsed="false" customWidth="true" hidden="false" outlineLevel="0" max="10" min="10" style="0" width="3"/>
    <col collapsed="false" customWidth="true" hidden="false" outlineLevel="0" max="11" min="11" style="0" width="14"/>
    <col collapsed="false" customWidth="true" hidden="false" outlineLevel="0" max="15" min="12" style="0" width="16"/>
    <col collapsed="false" customWidth="true" hidden="false" outlineLevel="0" max="18" min="16" style="0" width="18"/>
    <col collapsed="false" customWidth="true" hidden="false" outlineLevel="0" max="19" min="19" style="0" width="20"/>
    <col collapsed="false" customWidth="true" hidden="false" outlineLevel="0" max="21" min="20" style="0" width="18"/>
    <col collapsed="false" customWidth="true" hidden="false" outlineLevel="0" max="22" min="22" style="0" width="3"/>
  </cols>
  <sheetData>
    <row r="1" customFormat="false" ht="39.75" hidden="false" customHeight="true" outlineLevel="0" collapsed="false">
      <c r="B1" s="32" t="s">
        <v>46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</row>
    <row r="2" customFormat="false" ht="18" hidden="false" customHeight="true" outlineLevel="0" collapsed="false">
      <c r="B2" s="33" t="s">
        <v>47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</row>
    <row r="4" customFormat="false" ht="34.5" hidden="false" customHeight="true" outlineLevel="0" collapsed="false">
      <c r="B4" s="34" t="s">
        <v>11</v>
      </c>
      <c r="C4" s="34" t="s">
        <v>12</v>
      </c>
      <c r="D4" s="34" t="s">
        <v>48</v>
      </c>
      <c r="E4" s="34" t="s">
        <v>49</v>
      </c>
      <c r="F4" s="34" t="s">
        <v>50</v>
      </c>
      <c r="G4" s="34" t="s">
        <v>51</v>
      </c>
      <c r="H4" s="34" t="s">
        <v>52</v>
      </c>
      <c r="I4" s="34" t="s">
        <v>53</v>
      </c>
      <c r="K4" s="35" t="s">
        <v>12</v>
      </c>
      <c r="L4" s="36" t="s">
        <v>54</v>
      </c>
      <c r="M4" s="36" t="s">
        <v>55</v>
      </c>
      <c r="N4" s="37" t="s">
        <v>56</v>
      </c>
      <c r="O4" s="37"/>
      <c r="P4" s="37"/>
      <c r="Q4" s="37"/>
      <c r="R4" s="36" t="s">
        <v>57</v>
      </c>
      <c r="S4" s="38" t="s">
        <v>58</v>
      </c>
      <c r="T4" s="38" t="s">
        <v>59</v>
      </c>
      <c r="U4" s="38" t="s">
        <v>60</v>
      </c>
    </row>
    <row r="5" customFormat="false" ht="30" hidden="false" customHeight="true" outlineLevel="0" collapsed="false">
      <c r="B5" s="34"/>
      <c r="C5" s="34"/>
      <c r="D5" s="34"/>
      <c r="E5" s="34"/>
      <c r="F5" s="34"/>
      <c r="G5" s="34"/>
      <c r="H5" s="34"/>
      <c r="I5" s="34"/>
      <c r="K5" s="35"/>
      <c r="L5" s="35"/>
      <c r="M5" s="35"/>
      <c r="N5" s="39" t="s">
        <v>61</v>
      </c>
      <c r="O5" s="39" t="s">
        <v>42</v>
      </c>
      <c r="P5" s="39" t="s">
        <v>43</v>
      </c>
      <c r="Q5" s="39" t="s">
        <v>62</v>
      </c>
      <c r="R5" s="36"/>
      <c r="S5" s="36"/>
      <c r="T5" s="36"/>
      <c r="U5" s="36"/>
    </row>
    <row r="6" customFormat="false" ht="19.5" hidden="false" customHeight="true" outlineLevel="0" collapsed="false">
      <c r="B6" s="40" t="n">
        <v>1</v>
      </c>
      <c r="C6" s="40"/>
      <c r="D6" s="40"/>
      <c r="E6" s="40"/>
      <c r="F6" s="40" t="s">
        <v>63</v>
      </c>
      <c r="G6" s="41" t="n">
        <v>500000000</v>
      </c>
      <c r="H6" s="42"/>
      <c r="I6" s="41" t="n">
        <v>500000000</v>
      </c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</row>
    <row r="7" customFormat="false" ht="21.75" hidden="false" customHeight="true" outlineLevel="0" collapsed="false">
      <c r="B7" s="12" t="n">
        <v>2</v>
      </c>
      <c r="C7" s="13" t="s">
        <v>19</v>
      </c>
      <c r="D7" s="13"/>
      <c r="E7" s="13"/>
      <c r="F7" s="43" t="s">
        <v>64</v>
      </c>
      <c r="G7" s="14" t="n">
        <v>0</v>
      </c>
      <c r="H7" s="14" t="n">
        <v>27203000</v>
      </c>
      <c r="I7" s="14" t="n">
        <v>500000000</v>
      </c>
      <c r="K7" s="13" t="s">
        <v>19</v>
      </c>
      <c r="L7" s="14" t="n">
        <v>500000000</v>
      </c>
      <c r="M7" s="44"/>
      <c r="N7" s="14" t="n">
        <v>25263000</v>
      </c>
      <c r="O7" s="14" t="n">
        <v>1940000</v>
      </c>
      <c r="P7" s="44"/>
      <c r="Q7" s="14" t="n">
        <v>27203000</v>
      </c>
      <c r="R7" s="14" t="n">
        <v>472797000</v>
      </c>
      <c r="S7" s="14" t="n">
        <v>25263000</v>
      </c>
      <c r="T7" s="14" t="n">
        <v>77880100</v>
      </c>
      <c r="U7" s="14" t="n">
        <v>-52617100</v>
      </c>
    </row>
    <row r="8" customFormat="false" ht="21.75" hidden="false" customHeight="true" outlineLevel="0" collapsed="false">
      <c r="B8" s="15" t="n">
        <v>3</v>
      </c>
      <c r="C8" s="16" t="s">
        <v>20</v>
      </c>
      <c r="D8" s="16"/>
      <c r="E8" s="16"/>
      <c r="F8" s="45" t="s">
        <v>64</v>
      </c>
      <c r="G8" s="17" t="n">
        <v>0</v>
      </c>
      <c r="H8" s="17" t="n">
        <v>38130300</v>
      </c>
      <c r="I8" s="17" t="n">
        <v>472797000</v>
      </c>
      <c r="K8" s="16" t="s">
        <v>20</v>
      </c>
      <c r="L8" s="17" t="n">
        <v>472797000</v>
      </c>
      <c r="M8" s="46"/>
      <c r="N8" s="17" t="n">
        <v>31268000</v>
      </c>
      <c r="O8" s="17" t="n">
        <v>6862300</v>
      </c>
      <c r="P8" s="46"/>
      <c r="Q8" s="17" t="n">
        <v>38130300</v>
      </c>
      <c r="R8" s="17" t="n">
        <v>434666700</v>
      </c>
      <c r="S8" s="17" t="n">
        <v>31268000</v>
      </c>
      <c r="T8" s="46"/>
      <c r="U8" s="46"/>
    </row>
    <row r="9" customFormat="false" ht="21.75" hidden="false" customHeight="true" outlineLevel="0" collapsed="false">
      <c r="B9" s="12" t="n">
        <v>4</v>
      </c>
      <c r="C9" s="13" t="s">
        <v>21</v>
      </c>
      <c r="D9" s="13"/>
      <c r="E9" s="13"/>
      <c r="F9" s="43" t="s">
        <v>64</v>
      </c>
      <c r="G9" s="14" t="n">
        <v>0</v>
      </c>
      <c r="H9" s="14" t="n">
        <v>71197424</v>
      </c>
      <c r="I9" s="14" t="n">
        <v>434666700</v>
      </c>
      <c r="K9" s="13" t="s">
        <v>21</v>
      </c>
      <c r="L9" s="14" t="n">
        <v>434666700</v>
      </c>
      <c r="M9" s="44"/>
      <c r="N9" s="14" t="n">
        <v>21349100</v>
      </c>
      <c r="O9" s="14" t="n">
        <v>1848324</v>
      </c>
      <c r="P9" s="14" t="n">
        <v>48000000</v>
      </c>
      <c r="Q9" s="14" t="n">
        <v>71197424</v>
      </c>
      <c r="R9" s="14" t="n">
        <v>363469276</v>
      </c>
      <c r="S9" s="14" t="n">
        <v>21349100</v>
      </c>
      <c r="T9" s="44"/>
      <c r="U9" s="44"/>
    </row>
    <row r="10" customFormat="false" ht="21.75" hidden="false" customHeight="true" outlineLevel="0" collapsed="false">
      <c r="B10" s="15" t="n">
        <v>5</v>
      </c>
      <c r="C10" s="16" t="s">
        <v>22</v>
      </c>
      <c r="D10" s="16"/>
      <c r="E10" s="16"/>
      <c r="F10" s="45" t="s">
        <v>64</v>
      </c>
      <c r="G10" s="17" t="n">
        <v>0</v>
      </c>
      <c r="H10" s="17" t="n">
        <v>26457200</v>
      </c>
      <c r="I10" s="17" t="n">
        <v>363469276</v>
      </c>
      <c r="K10" s="16" t="s">
        <v>22</v>
      </c>
      <c r="L10" s="17" t="n">
        <v>363469276</v>
      </c>
      <c r="M10" s="46"/>
      <c r="N10" s="17" t="n">
        <v>24797200</v>
      </c>
      <c r="O10" s="17" t="n">
        <v>1660000</v>
      </c>
      <c r="P10" s="46"/>
      <c r="Q10" s="17" t="n">
        <v>26457200</v>
      </c>
      <c r="R10" s="17" t="n">
        <v>337012076</v>
      </c>
      <c r="S10" s="17" t="n">
        <v>24797200</v>
      </c>
      <c r="T10" s="46"/>
      <c r="U10" s="46"/>
    </row>
    <row r="11" customFormat="false" ht="21.75" hidden="false" customHeight="true" outlineLevel="0" collapsed="false">
      <c r="B11" s="12" t="n">
        <v>6</v>
      </c>
      <c r="C11" s="13" t="s">
        <v>23</v>
      </c>
      <c r="D11" s="13"/>
      <c r="E11" s="13"/>
      <c r="F11" s="43" t="s">
        <v>64</v>
      </c>
      <c r="G11" s="14" t="n">
        <v>0</v>
      </c>
      <c r="H11" s="14" t="n">
        <v>24298814</v>
      </c>
      <c r="I11" s="14" t="n">
        <v>337012076</v>
      </c>
      <c r="K11" s="13" t="s">
        <v>23</v>
      </c>
      <c r="L11" s="14" t="n">
        <v>337012076</v>
      </c>
      <c r="M11" s="44"/>
      <c r="N11" s="14" t="n">
        <v>20779200</v>
      </c>
      <c r="O11" s="14" t="n">
        <v>3519614</v>
      </c>
      <c r="P11" s="44"/>
      <c r="Q11" s="14" t="n">
        <v>24298814</v>
      </c>
      <c r="R11" s="14" t="n">
        <v>312713262</v>
      </c>
      <c r="S11" s="14" t="n">
        <v>20779200</v>
      </c>
      <c r="T11" s="44"/>
      <c r="U11" s="44"/>
    </row>
    <row r="12" customFormat="false" ht="21.75" hidden="false" customHeight="true" outlineLevel="0" collapsed="false">
      <c r="B12" s="15" t="n">
        <v>7</v>
      </c>
      <c r="C12" s="16" t="s">
        <v>24</v>
      </c>
      <c r="D12" s="16"/>
      <c r="E12" s="16"/>
      <c r="F12" s="45" t="s">
        <v>64</v>
      </c>
      <c r="G12" s="17" t="n">
        <v>0</v>
      </c>
      <c r="H12" s="17" t="n">
        <v>39035200</v>
      </c>
      <c r="I12" s="17" t="n">
        <v>312713262</v>
      </c>
      <c r="K12" s="16" t="s">
        <v>24</v>
      </c>
      <c r="L12" s="17" t="n">
        <v>312713262</v>
      </c>
      <c r="M12" s="46"/>
      <c r="N12" s="17" t="n">
        <v>37375200</v>
      </c>
      <c r="O12" s="17" t="n">
        <v>1660000</v>
      </c>
      <c r="P12" s="46"/>
      <c r="Q12" s="17" t="n">
        <v>39035200</v>
      </c>
      <c r="R12" s="17" t="n">
        <v>273678062</v>
      </c>
      <c r="S12" s="17" t="n">
        <v>37375200</v>
      </c>
      <c r="T12" s="46"/>
      <c r="U12" s="46"/>
    </row>
    <row r="13" customFormat="false" ht="21.75" hidden="false" customHeight="true" outlineLevel="0" collapsed="false">
      <c r="B13" s="12" t="n">
        <v>8</v>
      </c>
      <c r="C13" s="13" t="s">
        <v>25</v>
      </c>
      <c r="D13" s="13"/>
      <c r="E13" s="13"/>
      <c r="F13" s="43" t="s">
        <v>64</v>
      </c>
      <c r="G13" s="14" t="n">
        <v>0</v>
      </c>
      <c r="H13" s="14" t="n">
        <v>52676700</v>
      </c>
      <c r="I13" s="14" t="n">
        <v>273678062</v>
      </c>
      <c r="K13" s="13" t="s">
        <v>25</v>
      </c>
      <c r="L13" s="14" t="n">
        <v>273678062</v>
      </c>
      <c r="M13" s="44"/>
      <c r="N13" s="14" t="n">
        <v>50096700</v>
      </c>
      <c r="O13" s="14" t="n">
        <v>2580000</v>
      </c>
      <c r="P13" s="44"/>
      <c r="Q13" s="14" t="n">
        <v>52676700</v>
      </c>
      <c r="R13" s="14" t="n">
        <v>221001362</v>
      </c>
      <c r="S13" s="14" t="n">
        <v>50096700</v>
      </c>
      <c r="T13" s="44"/>
      <c r="U13" s="44"/>
    </row>
    <row r="14" customFormat="false" ht="21.75" hidden="false" customHeight="true" outlineLevel="0" collapsed="false">
      <c r="B14" s="15" t="n">
        <v>9</v>
      </c>
      <c r="C14" s="16" t="s">
        <v>26</v>
      </c>
      <c r="D14" s="16"/>
      <c r="E14" s="16"/>
      <c r="F14" s="45" t="s">
        <v>64</v>
      </c>
      <c r="G14" s="17" t="n">
        <v>0</v>
      </c>
      <c r="H14" s="17" t="n">
        <v>0</v>
      </c>
      <c r="I14" s="17" t="n">
        <v>221001362</v>
      </c>
      <c r="K14" s="47" t="s">
        <v>28</v>
      </c>
      <c r="L14" s="19" t="s">
        <v>28</v>
      </c>
      <c r="M14" s="47" t="s">
        <v>28</v>
      </c>
      <c r="N14" s="47" t="s">
        <v>28</v>
      </c>
      <c r="O14" s="47" t="s">
        <v>28</v>
      </c>
      <c r="P14" s="47" t="s">
        <v>28</v>
      </c>
      <c r="Q14" s="47" t="s">
        <v>28</v>
      </c>
      <c r="R14" s="19" t="s">
        <v>28</v>
      </c>
      <c r="S14" s="19" t="s">
        <v>28</v>
      </c>
      <c r="T14" s="47" t="s">
        <v>28</v>
      </c>
      <c r="U14" s="47" t="s">
        <v>28</v>
      </c>
    </row>
    <row r="15" customFormat="false" ht="21.75" hidden="false" customHeight="true" outlineLevel="0" collapsed="false">
      <c r="B15" s="12" t="n">
        <v>10</v>
      </c>
      <c r="C15" s="13" t="s">
        <v>29</v>
      </c>
      <c r="D15" s="13"/>
      <c r="E15" s="13"/>
      <c r="F15" s="43" t="s">
        <v>64</v>
      </c>
      <c r="G15" s="14" t="n">
        <v>0</v>
      </c>
      <c r="H15" s="14" t="n">
        <v>0</v>
      </c>
      <c r="I15" s="14" t="n">
        <v>221001362</v>
      </c>
      <c r="K15" s="48" t="s">
        <v>28</v>
      </c>
      <c r="L15" s="22" t="s">
        <v>28</v>
      </c>
      <c r="M15" s="48" t="s">
        <v>28</v>
      </c>
      <c r="N15" s="48" t="s">
        <v>28</v>
      </c>
      <c r="O15" s="48" t="s">
        <v>28</v>
      </c>
      <c r="P15" s="48" t="s">
        <v>28</v>
      </c>
      <c r="Q15" s="48" t="s">
        <v>28</v>
      </c>
      <c r="R15" s="22" t="s">
        <v>28</v>
      </c>
      <c r="S15" s="22" t="s">
        <v>28</v>
      </c>
      <c r="T15" s="48" t="s">
        <v>28</v>
      </c>
      <c r="U15" s="48" t="s">
        <v>28</v>
      </c>
    </row>
    <row r="16" customFormat="false" ht="21.75" hidden="false" customHeight="true" outlineLevel="0" collapsed="false">
      <c r="B16" s="15" t="n">
        <v>11</v>
      </c>
      <c r="C16" s="16" t="s">
        <v>30</v>
      </c>
      <c r="D16" s="16"/>
      <c r="E16" s="16"/>
      <c r="F16" s="45" t="s">
        <v>64</v>
      </c>
      <c r="G16" s="17" t="n">
        <v>0</v>
      </c>
      <c r="H16" s="17" t="n">
        <v>0</v>
      </c>
      <c r="I16" s="17" t="n">
        <v>221001362</v>
      </c>
      <c r="K16" s="47" t="s">
        <v>28</v>
      </c>
      <c r="L16" s="19" t="s">
        <v>28</v>
      </c>
      <c r="M16" s="47" t="s">
        <v>28</v>
      </c>
      <c r="N16" s="47" t="s">
        <v>28</v>
      </c>
      <c r="O16" s="47" t="s">
        <v>28</v>
      </c>
      <c r="P16" s="47" t="s">
        <v>28</v>
      </c>
      <c r="Q16" s="47" t="s">
        <v>28</v>
      </c>
      <c r="R16" s="19" t="s">
        <v>28</v>
      </c>
      <c r="S16" s="19" t="s">
        <v>28</v>
      </c>
      <c r="T16" s="47" t="s">
        <v>28</v>
      </c>
      <c r="U16" s="47" t="s">
        <v>28</v>
      </c>
    </row>
    <row r="17" customFormat="false" ht="21.75" hidden="false" customHeight="true" outlineLevel="0" collapsed="false">
      <c r="B17" s="26" t="s">
        <v>65</v>
      </c>
      <c r="C17" s="26"/>
      <c r="D17" s="26"/>
      <c r="E17" s="26"/>
      <c r="F17" s="26"/>
      <c r="G17" s="26"/>
      <c r="H17" s="25" t="n">
        <v>278998638</v>
      </c>
      <c r="I17" s="25" t="n">
        <v>500000000</v>
      </c>
      <c r="J17" s="26"/>
      <c r="K17" s="26"/>
      <c r="L17" s="26"/>
      <c r="M17" s="26"/>
      <c r="N17" s="25" t="n">
        <v>210928400</v>
      </c>
      <c r="O17" s="25" t="n">
        <v>20070238</v>
      </c>
      <c r="P17" s="25" t="n">
        <v>48000000</v>
      </c>
      <c r="Q17" s="25" t="n">
        <v>278998638</v>
      </c>
      <c r="R17" s="25" t="n">
        <v>221001362</v>
      </c>
      <c r="S17" s="26"/>
      <c r="T17" s="26"/>
      <c r="U17" s="26"/>
    </row>
    <row r="18" customFormat="false" ht="19.5" hidden="false" customHeight="true" outlineLevel="0" collapsed="false">
      <c r="K18" s="49" t="s">
        <v>66</v>
      </c>
      <c r="L18" s="49"/>
      <c r="M18" s="49"/>
      <c r="N18" s="49"/>
      <c r="O18" s="49"/>
      <c r="P18" s="49"/>
      <c r="Q18" s="49"/>
      <c r="R18" s="50" t="n">
        <v>571632000</v>
      </c>
    </row>
    <row r="19" customFormat="false" ht="19.5" hidden="false" customHeight="true" outlineLevel="0" collapsed="false">
      <c r="K19" s="49" t="s">
        <v>67</v>
      </c>
      <c r="L19" s="49"/>
      <c r="M19" s="49"/>
      <c r="N19" s="49"/>
      <c r="O19" s="49"/>
      <c r="P19" s="49"/>
      <c r="Q19" s="49"/>
      <c r="R19" s="50" t="n">
        <v>221001362</v>
      </c>
    </row>
    <row r="20" customFormat="false" ht="19.5" hidden="false" customHeight="true" outlineLevel="0" collapsed="false">
      <c r="K20" s="49" t="s">
        <v>68</v>
      </c>
      <c r="L20" s="49"/>
      <c r="M20" s="49"/>
      <c r="N20" s="49"/>
      <c r="O20" s="49"/>
      <c r="P20" s="49"/>
      <c r="Q20" s="49"/>
      <c r="R20" s="50" t="n">
        <v>77880100</v>
      </c>
    </row>
    <row r="21" customFormat="false" ht="19.5" hidden="false" customHeight="true" outlineLevel="0" collapsed="false">
      <c r="K21" s="49" t="s">
        <v>69</v>
      </c>
      <c r="L21" s="49"/>
      <c r="M21" s="49"/>
      <c r="N21" s="49"/>
      <c r="O21" s="49"/>
      <c r="P21" s="49"/>
      <c r="Q21" s="49"/>
      <c r="R21" s="50" t="n">
        <v>10650624</v>
      </c>
    </row>
  </sheetData>
  <mergeCells count="23">
    <mergeCell ref="B1:U1"/>
    <mergeCell ref="B2:U2"/>
    <mergeCell ref="B4:B5"/>
    <mergeCell ref="C4:C5"/>
    <mergeCell ref="D4:D5"/>
    <mergeCell ref="E4:E5"/>
    <mergeCell ref="F4:F5"/>
    <mergeCell ref="G4:G5"/>
    <mergeCell ref="H4:H5"/>
    <mergeCell ref="I4:I5"/>
    <mergeCell ref="K4:K5"/>
    <mergeCell ref="L4:L5"/>
    <mergeCell ref="M4:M5"/>
    <mergeCell ref="N4:Q4"/>
    <mergeCell ref="R4:R5"/>
    <mergeCell ref="S4:S5"/>
    <mergeCell ref="T4:T5"/>
    <mergeCell ref="U4:U5"/>
    <mergeCell ref="B17:F17"/>
    <mergeCell ref="K18:Q18"/>
    <mergeCell ref="K19:Q19"/>
    <mergeCell ref="K20:Q20"/>
    <mergeCell ref="K21:Q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1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11" min="3" style="0" width="14"/>
    <col collapsed="false" customWidth="true" hidden="false" outlineLevel="0" max="12" min="12" style="0" width="3"/>
  </cols>
  <sheetData>
    <row r="1" customFormat="false" ht="34.5" hidden="false" customHeight="true" outlineLevel="0" collapsed="false">
      <c r="B1" s="51" t="s">
        <v>70</v>
      </c>
      <c r="C1" s="51"/>
      <c r="D1" s="51"/>
      <c r="E1" s="51"/>
      <c r="F1" s="51"/>
      <c r="G1" s="51"/>
      <c r="H1" s="51"/>
      <c r="I1" s="51"/>
      <c r="J1" s="51"/>
      <c r="K1" s="51"/>
    </row>
    <row r="3" customFormat="false" ht="30" hidden="false" customHeight="true" outlineLevel="0" collapsed="false">
      <c r="B3" s="52" t="s">
        <v>11</v>
      </c>
      <c r="C3" s="52" t="s">
        <v>12</v>
      </c>
      <c r="D3" s="52" t="s">
        <v>13</v>
      </c>
      <c r="E3" s="52" t="s">
        <v>14</v>
      </c>
      <c r="F3" s="52" t="s">
        <v>15</v>
      </c>
      <c r="G3" s="52" t="s">
        <v>71</v>
      </c>
      <c r="H3" s="52" t="s">
        <v>17</v>
      </c>
      <c r="I3" s="52" t="s">
        <v>18</v>
      </c>
      <c r="J3" s="52" t="s">
        <v>72</v>
      </c>
      <c r="K3" s="52" t="s">
        <v>37</v>
      </c>
      <c r="L3" s="52" t="s">
        <v>38</v>
      </c>
    </row>
    <row r="4" customFormat="false" ht="21.75" hidden="false" customHeight="true" outlineLevel="0" collapsed="false">
      <c r="B4" s="53" t="n">
        <v>1</v>
      </c>
      <c r="C4" s="13" t="s">
        <v>19</v>
      </c>
      <c r="D4" s="14" t="n">
        <v>25263000</v>
      </c>
      <c r="E4" s="14" t="n">
        <v>1940000</v>
      </c>
      <c r="F4" s="13" t="s">
        <v>28</v>
      </c>
      <c r="G4" s="14" t="n">
        <v>27203000</v>
      </c>
      <c r="H4" s="14" t="n">
        <v>500000000</v>
      </c>
      <c r="I4" s="13" t="n">
        <v>472797000</v>
      </c>
      <c r="J4" s="13" t="n">
        <v>0.054406</v>
      </c>
      <c r="K4" s="13" t="s">
        <v>73</v>
      </c>
      <c r="L4" s="13" t="s">
        <v>74</v>
      </c>
    </row>
    <row r="5" customFormat="false" ht="21.75" hidden="false" customHeight="true" outlineLevel="0" collapsed="false">
      <c r="B5" s="54" t="n">
        <v>2</v>
      </c>
      <c r="C5" s="16" t="s">
        <v>20</v>
      </c>
      <c r="D5" s="17" t="n">
        <v>31268000</v>
      </c>
      <c r="E5" s="17" t="n">
        <v>6862300</v>
      </c>
      <c r="F5" s="16" t="s">
        <v>28</v>
      </c>
      <c r="G5" s="17" t="n">
        <v>38130300</v>
      </c>
      <c r="H5" s="17" t="n">
        <v>472797000</v>
      </c>
      <c r="I5" s="16" t="n">
        <v>434666700</v>
      </c>
      <c r="J5" s="16" t="n">
        <v>0.0806483543677308</v>
      </c>
      <c r="K5" s="16" t="s">
        <v>73</v>
      </c>
      <c r="L5" s="16" t="s">
        <v>75</v>
      </c>
    </row>
    <row r="6" customFormat="false" ht="21.75" hidden="false" customHeight="true" outlineLevel="0" collapsed="false">
      <c r="B6" s="53" t="n">
        <v>3</v>
      </c>
      <c r="C6" s="13" t="s">
        <v>21</v>
      </c>
      <c r="D6" s="14" t="n">
        <v>21349100</v>
      </c>
      <c r="E6" s="14" t="n">
        <v>1848324</v>
      </c>
      <c r="F6" s="14" t="n">
        <v>48000000</v>
      </c>
      <c r="G6" s="14" t="n">
        <v>71197424</v>
      </c>
      <c r="H6" s="14" t="n">
        <v>434666700</v>
      </c>
      <c r="I6" s="13" t="n">
        <v>363469276</v>
      </c>
      <c r="J6" s="13" t="n">
        <v>0.163797742040051</v>
      </c>
      <c r="K6" s="13" t="s">
        <v>73</v>
      </c>
      <c r="L6" s="13" t="s">
        <v>76</v>
      </c>
    </row>
    <row r="7" customFormat="false" ht="21.75" hidden="false" customHeight="true" outlineLevel="0" collapsed="false">
      <c r="B7" s="54" t="n">
        <v>4</v>
      </c>
      <c r="C7" s="16" t="s">
        <v>22</v>
      </c>
      <c r="D7" s="17" t="n">
        <v>24797200</v>
      </c>
      <c r="E7" s="17" t="n">
        <v>1660000</v>
      </c>
      <c r="F7" s="16" t="s">
        <v>28</v>
      </c>
      <c r="G7" s="17" t="n">
        <v>26457200</v>
      </c>
      <c r="H7" s="17" t="n">
        <v>363469276</v>
      </c>
      <c r="I7" s="16" t="n">
        <v>337012076</v>
      </c>
      <c r="J7" s="16" t="n">
        <v>0.0727907466929887</v>
      </c>
      <c r="K7" s="16" t="s">
        <v>73</v>
      </c>
      <c r="L7" s="16" t="s">
        <v>77</v>
      </c>
    </row>
    <row r="8" customFormat="false" ht="21.75" hidden="false" customHeight="true" outlineLevel="0" collapsed="false">
      <c r="B8" s="53" t="n">
        <v>5</v>
      </c>
      <c r="C8" s="13" t="s">
        <v>23</v>
      </c>
      <c r="D8" s="14" t="n">
        <v>20779200</v>
      </c>
      <c r="E8" s="14" t="n">
        <v>3519614</v>
      </c>
      <c r="F8" s="13" t="s">
        <v>28</v>
      </c>
      <c r="G8" s="14" t="n">
        <v>24298814</v>
      </c>
      <c r="H8" s="14" t="n">
        <v>337012076</v>
      </c>
      <c r="I8" s="13" t="n">
        <v>312713262</v>
      </c>
      <c r="J8" s="13" t="n">
        <v>0.0721007219931193</v>
      </c>
      <c r="K8" s="13" t="s">
        <v>73</v>
      </c>
      <c r="L8" s="13" t="s">
        <v>78</v>
      </c>
    </row>
    <row r="9" customFormat="false" ht="21.75" hidden="false" customHeight="true" outlineLevel="0" collapsed="false">
      <c r="B9" s="54" t="n">
        <v>6</v>
      </c>
      <c r="C9" s="16" t="s">
        <v>24</v>
      </c>
      <c r="D9" s="17" t="n">
        <v>37375200</v>
      </c>
      <c r="E9" s="17" t="n">
        <v>1660000</v>
      </c>
      <c r="F9" s="16" t="s">
        <v>28</v>
      </c>
      <c r="G9" s="17" t="n">
        <v>39035200</v>
      </c>
      <c r="H9" s="17" t="n">
        <v>312713262</v>
      </c>
      <c r="I9" s="16" t="n">
        <v>273678062</v>
      </c>
      <c r="J9" s="16" t="n">
        <v>0.124827452952731</v>
      </c>
      <c r="K9" s="16" t="s">
        <v>73</v>
      </c>
      <c r="L9" s="16" t="s">
        <v>79</v>
      </c>
    </row>
    <row r="10" customFormat="false" ht="21.75" hidden="false" customHeight="true" outlineLevel="0" collapsed="false">
      <c r="B10" s="53" t="n">
        <v>7</v>
      </c>
      <c r="C10" s="13" t="s">
        <v>25</v>
      </c>
      <c r="D10" s="14" t="n">
        <v>50096700</v>
      </c>
      <c r="E10" s="14" t="n">
        <v>2580000</v>
      </c>
      <c r="F10" s="13" t="s">
        <v>28</v>
      </c>
      <c r="G10" s="14" t="n">
        <v>52676700</v>
      </c>
      <c r="H10" s="14" t="n">
        <v>273678062</v>
      </c>
      <c r="I10" s="13" t="n">
        <v>221001362</v>
      </c>
      <c r="J10" s="13" t="n">
        <v>0.192476881833517</v>
      </c>
      <c r="K10" s="13" t="s">
        <v>73</v>
      </c>
      <c r="L10" s="13" t="s">
        <v>80</v>
      </c>
    </row>
    <row r="11" customFormat="false" ht="21.75" hidden="false" customHeight="true" outlineLevel="0" collapsed="false">
      <c r="B11" s="55" t="n">
        <v>8</v>
      </c>
      <c r="C11" s="56" t="s">
        <v>26</v>
      </c>
      <c r="D11" s="56" t="s">
        <v>28</v>
      </c>
      <c r="E11" s="56" t="s">
        <v>28</v>
      </c>
      <c r="F11" s="56" t="s">
        <v>28</v>
      </c>
      <c r="G11" s="56" t="s">
        <v>28</v>
      </c>
      <c r="H11" s="57" t="n">
        <v>221001362</v>
      </c>
      <c r="I11" s="56" t="n">
        <v>221001362</v>
      </c>
      <c r="J11" s="56" t="s">
        <v>28</v>
      </c>
      <c r="K11" s="56" t="s">
        <v>81</v>
      </c>
      <c r="L11" s="56"/>
    </row>
    <row r="12" customFormat="false" ht="21.75" hidden="false" customHeight="true" outlineLevel="0" collapsed="false">
      <c r="B12" s="55" t="n">
        <v>9</v>
      </c>
      <c r="C12" s="56" t="s">
        <v>29</v>
      </c>
      <c r="D12" s="56" t="s">
        <v>28</v>
      </c>
      <c r="E12" s="56" t="s">
        <v>28</v>
      </c>
      <c r="F12" s="56" t="s">
        <v>28</v>
      </c>
      <c r="G12" s="56" t="s">
        <v>28</v>
      </c>
      <c r="H12" s="57" t="n">
        <v>221001362</v>
      </c>
      <c r="I12" s="56" t="n">
        <v>221001362</v>
      </c>
      <c r="J12" s="56" t="s">
        <v>28</v>
      </c>
      <c r="K12" s="56" t="s">
        <v>81</v>
      </c>
      <c r="L12" s="56"/>
    </row>
    <row r="13" customFormat="false" ht="21.75" hidden="false" customHeight="true" outlineLevel="0" collapsed="false">
      <c r="B13" s="55" t="n">
        <v>10</v>
      </c>
      <c r="C13" s="56" t="s">
        <v>30</v>
      </c>
      <c r="D13" s="56" t="s">
        <v>28</v>
      </c>
      <c r="E13" s="56" t="s">
        <v>28</v>
      </c>
      <c r="F13" s="56" t="s">
        <v>28</v>
      </c>
      <c r="G13" s="56" t="s">
        <v>28</v>
      </c>
      <c r="H13" s="57" t="n">
        <v>221001362</v>
      </c>
      <c r="I13" s="56" t="n">
        <v>221001362</v>
      </c>
      <c r="J13" s="56" t="s">
        <v>28</v>
      </c>
      <c r="K13" s="56" t="s">
        <v>81</v>
      </c>
      <c r="L13" s="56"/>
    </row>
    <row r="14" customFormat="false" ht="21.75" hidden="false" customHeight="true" outlineLevel="0" collapsed="false">
      <c r="B14" s="24" t="s">
        <v>62</v>
      </c>
      <c r="C14" s="24"/>
      <c r="D14" s="25" t="n">
        <v>210928400</v>
      </c>
      <c r="E14" s="25" t="n">
        <v>20070238</v>
      </c>
      <c r="F14" s="25" t="n">
        <v>48000000</v>
      </c>
      <c r="G14" s="25" t="n">
        <v>278998638</v>
      </c>
      <c r="H14" s="58"/>
      <c r="I14" s="58"/>
      <c r="J14" s="58"/>
      <c r="K14" s="58"/>
      <c r="L14" s="58"/>
    </row>
  </sheetData>
  <mergeCells count="2">
    <mergeCell ref="B1:K1"/>
    <mergeCell ref="B14:C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4"/>
    <col collapsed="false" customWidth="true" hidden="false" outlineLevel="0" max="14" min="7" style="0" width="11"/>
  </cols>
  <sheetData>
    <row r="1" customFormat="false" ht="39.75" hidden="false" customHeight="true" outlineLevel="0" collapsed="false">
      <c r="A1" s="32" t="s">
        <v>82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</row>
    <row r="3" customFormat="false" ht="18" hidden="false" customHeight="true" outlineLevel="0" collapsed="false">
      <c r="A3" s="0" t="s">
        <v>12</v>
      </c>
      <c r="B3" s="0" t="s">
        <v>39</v>
      </c>
      <c r="C3" s="0" t="s">
        <v>42</v>
      </c>
      <c r="D3" s="0" t="s">
        <v>43</v>
      </c>
      <c r="E3" s="0" t="s">
        <v>83</v>
      </c>
      <c r="F3" s="0" t="s">
        <v>84</v>
      </c>
      <c r="H3" s="0" t="s">
        <v>33</v>
      </c>
      <c r="I3" s="0" t="s">
        <v>85</v>
      </c>
    </row>
    <row r="4" customFormat="false" ht="15" hidden="false" customHeight="false" outlineLevel="0" collapsed="false">
      <c r="A4" s="0" t="s">
        <v>19</v>
      </c>
      <c r="B4" s="0" t="n">
        <v>25263000</v>
      </c>
      <c r="C4" s="0" t="n">
        <v>1940000</v>
      </c>
      <c r="D4" s="0" t="n">
        <v>0</v>
      </c>
      <c r="E4" s="0" t="n">
        <v>27203000</v>
      </c>
      <c r="F4" s="0" t="n">
        <v>472797000</v>
      </c>
      <c r="H4" s="0" t="s">
        <v>39</v>
      </c>
      <c r="I4" s="0" t="n">
        <v>210928400</v>
      </c>
    </row>
    <row r="5" customFormat="false" ht="15" hidden="false" customHeight="false" outlineLevel="0" collapsed="false">
      <c r="A5" s="0" t="s">
        <v>20</v>
      </c>
      <c r="B5" s="0" t="n">
        <v>31268000</v>
      </c>
      <c r="C5" s="0" t="n">
        <v>6862300</v>
      </c>
      <c r="D5" s="0" t="n">
        <v>0</v>
      </c>
      <c r="E5" s="0" t="n">
        <v>38130300</v>
      </c>
      <c r="F5" s="0" t="n">
        <v>434666700</v>
      </c>
      <c r="H5" s="0" t="s">
        <v>42</v>
      </c>
      <c r="I5" s="0" t="n">
        <v>20070238</v>
      </c>
    </row>
    <row r="6" customFormat="false" ht="15" hidden="false" customHeight="false" outlineLevel="0" collapsed="false">
      <c r="A6" s="0" t="s">
        <v>21</v>
      </c>
      <c r="B6" s="0" t="n">
        <v>21349100</v>
      </c>
      <c r="C6" s="0" t="n">
        <v>1848324</v>
      </c>
      <c r="D6" s="0" t="n">
        <v>48000000</v>
      </c>
      <c r="E6" s="0" t="n">
        <v>71197424</v>
      </c>
      <c r="F6" s="0" t="n">
        <v>363469276</v>
      </c>
      <c r="H6" s="0" t="s">
        <v>43</v>
      </c>
      <c r="I6" s="0" t="n">
        <v>48000000</v>
      </c>
    </row>
    <row r="7" customFormat="false" ht="15" hidden="false" customHeight="false" outlineLevel="0" collapsed="false">
      <c r="A7" s="0" t="s">
        <v>22</v>
      </c>
      <c r="B7" s="0" t="n">
        <v>24797200</v>
      </c>
      <c r="C7" s="0" t="n">
        <v>1660000</v>
      </c>
      <c r="D7" s="0" t="n">
        <v>0</v>
      </c>
      <c r="E7" s="0" t="n">
        <v>26457200</v>
      </c>
      <c r="F7" s="0" t="n">
        <v>337012076</v>
      </c>
    </row>
    <row r="8" customFormat="false" ht="15" hidden="false" customHeight="false" outlineLevel="0" collapsed="false">
      <c r="A8" s="0" t="s">
        <v>23</v>
      </c>
      <c r="B8" s="0" t="n">
        <v>20779200</v>
      </c>
      <c r="C8" s="0" t="n">
        <v>3519614</v>
      </c>
      <c r="D8" s="0" t="n">
        <v>0</v>
      </c>
      <c r="E8" s="0" t="n">
        <v>24298814</v>
      </c>
      <c r="F8" s="0" t="n">
        <v>312713262</v>
      </c>
    </row>
    <row r="9" customFormat="false" ht="15" hidden="false" customHeight="false" outlineLevel="0" collapsed="false">
      <c r="A9" s="0" t="s">
        <v>24</v>
      </c>
      <c r="B9" s="0" t="n">
        <v>37375200</v>
      </c>
      <c r="C9" s="0" t="n">
        <v>1660000</v>
      </c>
      <c r="D9" s="0" t="n">
        <v>0</v>
      </c>
      <c r="E9" s="0" t="n">
        <v>39035200</v>
      </c>
      <c r="F9" s="0" t="n">
        <v>273678062</v>
      </c>
    </row>
    <row r="10" customFormat="false" ht="15" hidden="false" customHeight="false" outlineLevel="0" collapsed="false">
      <c r="A10" s="0" t="s">
        <v>25</v>
      </c>
      <c r="B10" s="0" t="n">
        <v>50096700</v>
      </c>
      <c r="C10" s="0" t="n">
        <v>2580000</v>
      </c>
      <c r="D10" s="0" t="n">
        <v>0</v>
      </c>
      <c r="E10" s="0" t="n">
        <v>52676700</v>
      </c>
      <c r="F10" s="0" t="n">
        <v>221001362</v>
      </c>
    </row>
    <row r="11" customFormat="false" ht="15" hidden="false" customHeight="false" outlineLevel="0" collapsed="false">
      <c r="A11" s="0" t="s">
        <v>26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221001362</v>
      </c>
    </row>
    <row r="12" customFormat="false" ht="15" hidden="false" customHeight="false" outlineLevel="0" collapsed="false">
      <c r="A12" s="0" t="s">
        <v>29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221001362</v>
      </c>
    </row>
    <row r="13" customFormat="false" ht="15" hidden="false" customHeight="false" outlineLevel="0" collapsed="false">
      <c r="A13" s="0" t="s">
        <v>30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221001362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23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4" min="3" style="0" width="20"/>
    <col collapsed="false" customWidth="true" hidden="false" outlineLevel="0" max="11" min="5" style="0" width="18"/>
    <col collapsed="false" customWidth="true" hidden="false" outlineLevel="0" max="12" min="12" style="0" width="3"/>
  </cols>
  <sheetData>
    <row r="1" customFormat="false" ht="39.75" hidden="false" customHeight="true" outlineLevel="0" collapsed="false">
      <c r="B1" s="32" t="s">
        <v>86</v>
      </c>
      <c r="C1" s="32"/>
      <c r="D1" s="32"/>
      <c r="E1" s="32"/>
      <c r="F1" s="32"/>
      <c r="G1" s="32"/>
      <c r="H1" s="32"/>
      <c r="I1" s="32"/>
      <c r="J1" s="32"/>
      <c r="K1" s="32"/>
    </row>
    <row r="2" customFormat="false" ht="19.5" hidden="false" customHeight="true" outlineLevel="0" collapsed="false">
      <c r="B2" s="2" t="s">
        <v>87</v>
      </c>
      <c r="C2" s="2"/>
      <c r="D2" s="2"/>
      <c r="E2" s="2"/>
      <c r="F2" s="2"/>
      <c r="G2" s="2"/>
      <c r="H2" s="2"/>
      <c r="I2" s="2"/>
      <c r="J2" s="2"/>
      <c r="K2" s="2"/>
    </row>
    <row r="4" customFormat="false" ht="27.75" hidden="false" customHeight="true" outlineLevel="0" collapsed="false">
      <c r="B4" s="52" t="s">
        <v>88</v>
      </c>
      <c r="C4" s="52" t="s">
        <v>89</v>
      </c>
      <c r="D4" s="52" t="s">
        <v>90</v>
      </c>
      <c r="E4" s="52" t="s">
        <v>91</v>
      </c>
      <c r="F4" s="52" t="s">
        <v>92</v>
      </c>
      <c r="G4" s="52" t="s">
        <v>93</v>
      </c>
      <c r="H4" s="52" t="s">
        <v>94</v>
      </c>
      <c r="I4" s="52" t="s">
        <v>95</v>
      </c>
      <c r="J4" s="52" t="s">
        <v>36</v>
      </c>
      <c r="K4" s="52" t="s">
        <v>96</v>
      </c>
      <c r="L4" s="52" t="s">
        <v>97</v>
      </c>
    </row>
    <row r="5" customFormat="false" ht="21.75" hidden="false" customHeight="true" outlineLevel="0" collapsed="false">
      <c r="B5" s="13" t="s">
        <v>98</v>
      </c>
      <c r="C5" s="14" t="n">
        <v>571632000</v>
      </c>
      <c r="D5" s="14" t="n">
        <v>571632000</v>
      </c>
      <c r="E5" s="14" t="n">
        <v>136530724</v>
      </c>
      <c r="F5" s="59" t="n">
        <v>-77880100</v>
      </c>
      <c r="G5" s="59" t="n">
        <v>-10650624</v>
      </c>
      <c r="H5" s="59" t="n">
        <v>-88530724</v>
      </c>
      <c r="I5" s="14" t="n">
        <v>435101276</v>
      </c>
      <c r="J5" s="14" t="n">
        <v>523632000</v>
      </c>
      <c r="K5" s="13" t="n">
        <v>0</v>
      </c>
      <c r="L5" s="13"/>
    </row>
    <row r="7" customFormat="false" ht="18" hidden="false" customHeight="true" outlineLevel="0" collapsed="false">
      <c r="B7" s="3" t="s">
        <v>99</v>
      </c>
      <c r="C7" s="3"/>
      <c r="D7" s="3"/>
      <c r="E7" s="3"/>
      <c r="F7" s="3"/>
      <c r="G7" s="3"/>
      <c r="H7" s="3"/>
      <c r="I7" s="3"/>
      <c r="J7" s="3"/>
      <c r="K7" s="3"/>
    </row>
    <row r="8" customFormat="false" ht="27.75" hidden="false" customHeight="true" outlineLevel="0" collapsed="false">
      <c r="B8" s="27" t="s">
        <v>33</v>
      </c>
      <c r="C8" s="27" t="s">
        <v>100</v>
      </c>
      <c r="D8" s="27" t="s">
        <v>101</v>
      </c>
      <c r="E8" s="27" t="s">
        <v>36</v>
      </c>
      <c r="F8" s="27" t="s">
        <v>102</v>
      </c>
      <c r="G8" s="27" t="s">
        <v>37</v>
      </c>
    </row>
    <row r="9" customFormat="false" ht="21.75" hidden="false" customHeight="true" outlineLevel="0" collapsed="false">
      <c r="B9" s="13" t="s">
        <v>39</v>
      </c>
      <c r="C9" s="14" t="n">
        <v>77880100</v>
      </c>
      <c r="D9" s="14" t="n">
        <v>77880100</v>
      </c>
      <c r="E9" s="14" t="n">
        <v>0</v>
      </c>
      <c r="F9" s="60" t="n">
        <v>1</v>
      </c>
      <c r="G9" s="13" t="s">
        <v>40</v>
      </c>
    </row>
    <row r="10" customFormat="false" ht="21.75" hidden="false" customHeight="true" outlineLevel="0" collapsed="false">
      <c r="B10" s="16" t="s">
        <v>42</v>
      </c>
      <c r="C10" s="17" t="n">
        <v>10650624</v>
      </c>
      <c r="D10" s="17" t="n">
        <v>10650624</v>
      </c>
      <c r="E10" s="17" t="n">
        <v>0</v>
      </c>
      <c r="F10" s="61" t="n">
        <v>1</v>
      </c>
      <c r="G10" s="16" t="s">
        <v>40</v>
      </c>
    </row>
    <row r="11" customFormat="false" ht="21.75" hidden="false" customHeight="true" outlineLevel="0" collapsed="false">
      <c r="B11" s="13" t="s">
        <v>43</v>
      </c>
      <c r="C11" s="14" t="n">
        <v>48000000</v>
      </c>
      <c r="D11" s="14" t="n">
        <v>48000000</v>
      </c>
      <c r="E11" s="14" t="n">
        <v>0</v>
      </c>
      <c r="F11" s="60" t="n">
        <v>1</v>
      </c>
      <c r="G11" s="13" t="s">
        <v>40</v>
      </c>
    </row>
    <row r="12" customFormat="false" ht="21.75" hidden="false" customHeight="true" outlineLevel="0" collapsed="false">
      <c r="B12" s="62" t="s">
        <v>62</v>
      </c>
      <c r="C12" s="63" t="n">
        <v>136530724</v>
      </c>
      <c r="D12" s="63" t="n">
        <v>136530724</v>
      </c>
      <c r="E12" s="63" t="n">
        <v>0</v>
      </c>
      <c r="F12" s="64" t="n">
        <v>1</v>
      </c>
      <c r="G12" s="62" t="s">
        <v>40</v>
      </c>
    </row>
    <row r="14" customFormat="false" ht="21.75" hidden="false" customHeight="true" outlineLevel="0" collapsed="false">
      <c r="B14" s="30" t="s">
        <v>103</v>
      </c>
      <c r="C14" s="30"/>
      <c r="D14" s="30"/>
      <c r="E14" s="30"/>
      <c r="F14" s="30"/>
      <c r="G14" s="30"/>
      <c r="H14" s="30"/>
      <c r="I14" s="30"/>
      <c r="J14" s="30"/>
      <c r="K14" s="30"/>
    </row>
    <row r="17" customFormat="false" ht="15" hidden="false" customHeight="false" outlineLevel="0" collapsed="false">
      <c r="B17" s="65" t="s">
        <v>104</v>
      </c>
      <c r="C17" s="65"/>
      <c r="D17" s="65"/>
      <c r="E17" s="65"/>
      <c r="F17" s="65"/>
      <c r="G17" s="65"/>
      <c r="H17" s="65"/>
      <c r="I17" s="65"/>
      <c r="J17" s="65"/>
      <c r="K17" s="65"/>
    </row>
    <row r="19" customFormat="false" ht="15" hidden="false" customHeight="false" outlineLevel="0" collapsed="false">
      <c r="B19" s="66" t="s">
        <v>105</v>
      </c>
      <c r="E19" s="66" t="s">
        <v>106</v>
      </c>
      <c r="I19" s="66" t="s">
        <v>107</v>
      </c>
    </row>
    <row r="23" customFormat="false" ht="15" hidden="false" customHeight="false" outlineLevel="0" collapsed="false">
      <c r="B23" s="66" t="s">
        <v>108</v>
      </c>
      <c r="E23" s="66" t="s">
        <v>109</v>
      </c>
      <c r="I23" s="66" t="s">
        <v>110</v>
      </c>
    </row>
  </sheetData>
  <mergeCells count="5">
    <mergeCell ref="B1:K1"/>
    <mergeCell ref="B2:K2"/>
    <mergeCell ref="B7:K7"/>
    <mergeCell ref="B14:K14"/>
    <mergeCell ref="B17:K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2026-05-10T19:50:05Z</dcterms:created>
  <dc:creator>openpyxl</dc:creator>
  <dc:description/>
  <dc:language>en-US</dc:language>
  <cp:lastModifiedBy/>
  <dcterms:modified xsi:type="dcterms:W3CDTF">2026-05-10T19:50:12Z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