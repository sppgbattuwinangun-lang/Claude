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Rekap Harian" sheetId="2" r:id="rId2"/>
    <sheet name="Rekap Mingguan" sheetId="3" r:id="rId3"/>
    <sheet name="Grafik" sheetId="4" r:id="rId4"/>
    <sheet name="Pengaturan" sheetId="5" r:id="rId5"/>
    <sheet name="Pagu Harian" sheetId="6" r:id="rId6"/>
    <sheet name="Pengeluaran Pangan" sheetId="7" r:id="rId7"/>
    <sheet name="Pengeluaran Operasional" sheetId="8" r:id="rId8"/>
    <sheet name="Kategori" sheetId="9" r:id="rId9"/>
  </sheets>
</workbook>
</file>

<file path=xl/styles.xml><?xml version="1.0" encoding="utf-8"?>
<styleSheet xmlns="http://schemas.openxmlformats.org/spreadsheetml/2006/main">
  <numFmts count="4">
    <numFmt numFmtId="164" formatCode="&quot;Rp&quot;\ #,##0;[Red]&quot;Rp&quot;\ \-#,##0"/>
    <numFmt numFmtId="165" formatCode="dd\ mmm\ yyyy"/>
    <numFmt numFmtId="166" formatCode="0.0%"/>
    <numFmt numFmtId="167" formatCode="#,##0"/>
  </numFmts>
  <fonts count="18">
    <font>
      <sz val="11"/>
      <color rgb="FF262626"/>
      <name val="Calibri"/>
    </font>
    <font>
      <b/>
      <sz val="11"/>
      <color rgb="FFFFFFFF"/>
      <name val="Calibri"/>
    </font>
    <font>
      <b/>
      <sz val="20"/>
      <color rgb="FF1F4E79"/>
      <name val="Calibri"/>
    </font>
    <font>
      <b/>
      <sz val="11"/>
      <color rgb="FF262626"/>
      <name val="Calibri"/>
    </font>
    <font>
      <sz val="11"/>
      <color rgb="FFC00000"/>
      <name val="Calibri"/>
    </font>
    <font>
      <sz val="11"/>
      <color rgb="FF375623"/>
      <name val="Calibri"/>
    </font>
    <font>
      <i/>
      <sz val="9"/>
      <color rgb="FF808080"/>
      <name val="Calibri"/>
    </font>
    <font>
      <b/>
      <i/>
      <sz val="11"/>
      <color rgb="FF262626"/>
      <name val="Calibri"/>
    </font>
    <font>
      <b/>
      <sz val="14"/>
      <color rgb="FF1F4E79"/>
      <name val="Calibri"/>
    </font>
    <font>
      <b/>
      <sz val="12"/>
      <color rgb="FFFFFFFF"/>
      <name val="Calibri"/>
    </font>
    <font>
      <b/>
      <sz val="18"/>
      <color rgb="FFFFFFFF"/>
      <name val="Calibri"/>
    </font>
    <font>
      <b/>
      <sz val="9"/>
      <color rgb="FFFFFFFF"/>
      <name val="Calibri"/>
    </font>
    <font>
      <i/>
      <sz val="10"/>
      <color rgb="FF595959"/>
      <name val="Calibri"/>
    </font>
    <font>
      <b/>
      <sz val="11"/>
      <color rgb="FF375623"/>
      <name val="Calibri"/>
    </font>
    <font>
      <b/>
      <sz val="11"/>
      <color rgb="FF833C0C"/>
      <name val="Calibri"/>
    </font>
    <font>
      <b/>
      <sz val="16"/>
      <color rgb="FFFFFFFF"/>
      <name val="Calibri"/>
    </font>
    <font>
      <b/>
      <sz val="12"/>
      <color rgb="FF1F4E79"/>
      <name val="Calibri"/>
    </font>
    <font>
      <b/>
      <sz val="9"/>
      <color rgb="FF40404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548235"/>
      </patternFill>
    </fill>
    <fill>
      <patternFill patternType="solid">
        <fgColor rgb="FFED7D31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BF8F00"/>
      </patternFill>
    </fill>
    <fill>
      <patternFill patternType="solid">
        <fgColor rgb="FFFCE4D6"/>
      </patternFill>
    </fill>
    <fill>
      <patternFill patternType="solid">
        <fgColor rgb="FFFFEBEB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bottom style="medium">
        <color rgb="FF1F4E7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0" fillId="0" borderId="4" xfId="0" applyNumberFormat="1" applyBorder="1"/>
    <xf numFmtId="165" fontId="0" fillId="0" borderId="4" xfId="0" applyNumberFormat="1" applyBorder="1" applyAlignment="1">
      <alignment horizontal="center"/>
    </xf>
    <xf numFmtId="0" fontId="3" fillId="3" borderId="4" xfId="0" applyFont="1" applyFill="1" applyBorder="1"/>
    <xf numFmtId="166" fontId="3" fillId="0" borderId="4" xfId="0" applyNumberFormat="1" applyFont="1" applyBorder="1" applyAlignment="1">
      <alignment horizontal="center"/>
    </xf>
    <xf numFmtId="164" fontId="3" fillId="4" borderId="4" xfId="0" applyNumberFormat="1" applyFont="1" applyFill="1" applyBorder="1"/>
    <xf numFmtId="0" fontId="0" fillId="0" borderId="4" xfId="0" applyBorder="1" applyAlignment="1">
      <alignment horizontal="center" wrapText="1"/>
    </xf>
    <xf numFmtId="164" fontId="4" fillId="0" borderId="4" xfId="0" applyNumberFormat="1" applyFont="1" applyBorder="1"/>
    <xf numFmtId="164" fontId="5" fillId="0" borderId="4" xfId="0" applyNumberFormat="1" applyFont="1" applyBorder="1"/>
    <xf numFmtId="167" fontId="0" fillId="0" borderId="4" xfId="0" applyNumberFormat="1" applyBorder="1" applyAlignment="1">
      <alignment horizontal="center"/>
    </xf>
    <xf numFmtId="0" fontId="7" fillId="0" borderId="0" xfId="0" applyFont="1"/>
    <xf numFmtId="0" fontId="9" fillId="5" borderId="4" xfId="0" applyFont="1" applyFill="1" applyBorder="1" applyAlignment="1">
      <alignment horizontal="left" vertical="center" indent="1"/>
    </xf>
    <xf numFmtId="164" fontId="3" fillId="0" borderId="4" xfId="0" applyNumberFormat="1" applyFont="1" applyBorder="1"/>
    <xf numFmtId="0" fontId="3" fillId="0" borderId="0" xfId="0" applyFont="1" applyAlignment="1">
      <alignment horizontal="center"/>
    </xf>
    <xf numFmtId="164" fontId="8" fillId="4" borderId="4" xfId="0" applyNumberFormat="1" applyFont="1" applyFill="1" applyBorder="1"/>
    <xf numFmtId="164" fontId="13" fillId="8" borderId="4" xfId="0" applyNumberFormat="1" applyFont="1" applyFill="1" applyBorder="1"/>
    <xf numFmtId="164" fontId="14" fillId="8" borderId="4" xfId="0" applyNumberFormat="1" applyFont="1" applyFill="1" applyBorder="1"/>
    <xf numFmtId="0" fontId="6" fillId="0" borderId="0" xfId="0" applyFont="1"/>
    <xf numFmtId="0" fontId="9" fillId="7" borderId="4" xfId="0" applyFont="1" applyFill="1" applyBorder="1" applyAlignment="1">
      <alignment horizontal="left" vertical="center" indent="1"/>
    </xf>
    <xf numFmtId="0" fontId="9" fillId="6" borderId="4" xfId="0" applyFont="1" applyFill="1" applyBorder="1" applyAlignment="1">
      <alignment horizontal="left" vertical="center" indent="1"/>
    </xf>
    <xf numFmtId="164" fontId="10" fillId="9" borderId="2" xfId="0" applyNumberFormat="1" applyFont="1" applyFill="1" applyBorder="1" applyAlignment="1">
      <alignment horizontal="center" vertical="center"/>
    </xf>
    <xf numFmtId="164" fontId="10" fillId="10" borderId="2" xfId="0" applyNumberFormat="1" applyFont="1" applyFill="1" applyBorder="1" applyAlignment="1">
      <alignment horizontal="center" vertical="center"/>
    </xf>
    <xf numFmtId="164" fontId="10" fillId="11" borderId="2" xfId="0" applyNumberFormat="1" applyFont="1" applyFill="1" applyBorder="1" applyAlignment="1">
      <alignment horizontal="center" vertical="center"/>
    </xf>
    <xf numFmtId="166" fontId="10" fillId="12" borderId="2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2" borderId="4" xfId="0" applyFont="1" applyFill="1" applyBorder="1" applyAlignment="1">
      <alignment horizontal="left" vertical="center" indent="1"/>
    </xf>
    <xf numFmtId="167" fontId="16" fillId="15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indent="1"/>
    </xf>
    <xf numFmtId="164" fontId="13" fillId="5" borderId="4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rPr lang="id-ID" b="1" sz="1600">
                <a:solidFill>
                  <a:srgbClr val="1F4E79"/>
                </a:solidFill>
              </a:rPr>
              <a:t>Tren Harian: Bahan Pangan (Aktual vs Pagu)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Grafik!$B$5</c:f>
              <c:strCache>
                <c:ptCount val="1"/>
                <c:pt idx="0">
                  <c:v>Aktual Pangan</c:v>
                </c:pt>
              </c:strCache>
            </c:strRef>
          </c:tx>
          <c:spPr>
            <a:ln w="28575" cap="rnd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  <a:ln>
                <a:solidFill>
                  <a:srgbClr val="548235"/>
                </a:solidFill>
              </a:ln>
            </c:spPr>
          </c:marker>
          <c:cat>
            <c:numRef>
              <c:f>Grafik!$A$6:$A$36</c:f>
            </c:numRef>
          </c:cat>
          <c:val>
            <c:numRef>
              <c:f>Grafik!$B$6:$B$36</c:f>
            </c:numRef>
          </c:val>
          <c:smooth val="0"/>
        </c:ser>
        <c:ser>
          <c:idx val="1"/>
          <c:order val="1"/>
          <c:tx>
            <c:strRef>
              <c:f>Grafik!$C$5</c:f>
              <c:strCache>
                <c:ptCount val="1"/>
                <c:pt idx="0">
                  <c:v>Pagu Pangan</c:v>
                </c:pt>
              </c:strCache>
            </c:strRef>
          </c:tx>
          <c:spPr>
            <a:ln w="22225" cap="rnd">
              <a:solidFill>
                <a:srgbClr val="A9D18E"/>
              </a:solidFill>
              <a:prstDash val="dash"/>
            </a:ln>
          </c:spPr>
          <c:marker>
            <c:symbol val="none"/>
          </c:marker>
          <c:cat>
            <c:numRef>
              <c:f>Grafik!$A$6:$A$36</c:f>
            </c:numRef>
          </c:cat>
          <c:val>
            <c:numRef>
              <c:f>Grafik!$C$6:$C$36</c:f>
            </c:numRef>
          </c:val>
          <c:smooth val="0"/>
        </c:ser>
        <c:marker val="1"/>
        <c:axId val="101"/>
        <c:axId val="102"/>
      </c:lineChart>
      <c:catAx>
        <c:axId val="101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txPr>
          <a:bodyPr rot="-2700000"/>
          <a:lstStyle/>
          <a:p>
            <a:pPr>
              <a:defRPr sz="900"/>
            </a:pPr>
            <a:endParaRPr lang="id-ID"/>
          </a:p>
        </c:txPr>
        <c:crossAx val="102"/>
      </c:catAx>
      <c:valAx>
        <c:axId val="102"/>
        <c:scaling>
          <c:orientation val="minMax"/>
        </c:scaling>
        <c:delete val="0"/>
        <c:axPos val="l"/>
        <c:majorGridlines>
          <c:spPr>
            <a:ln w="9525">
              <a:solidFill>
                <a:srgbClr val="E7E6E6"/>
              </a:solidFill>
            </a:ln>
          </c:spPr>
        </c:majorGridlines>
        <c:numFmt formatCode="&quot;Rp&quot;#,##0" sourceLinked="0"/>
        <c:majorTickMark val="out"/>
        <c:minorTickMark val="none"/>
        <c:tickLblPos val="nextTo"/>
        <c:crossAx val="10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9D9D9"/>
      </a:solidFill>
    </a:ln>
  </c:sp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rPr lang="id-ID" b="1" sz="1600">
                <a:solidFill>
                  <a:srgbClr val="BF6A1E"/>
                </a:solidFill>
              </a:rPr>
              <a:t>Tren Harian: Operasional (Aktual vs Pagu)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Grafik!$D$5</c:f>
              <c:strCache>
                <c:ptCount val="1"/>
                <c:pt idx="0">
                  <c:v>Aktual Operasional</c:v>
                </c:pt>
              </c:strCache>
            </c:strRef>
          </c:tx>
          <c:spPr>
            <a:ln w="28575" cap="rnd">
              <a:solidFill>
                <a:srgbClr val="ED7D31"/>
              </a:solidFill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cat>
            <c:numRef>
              <c:f>Grafik!$A$6:$A$36</c:f>
            </c:numRef>
          </c:cat>
          <c:val>
            <c:numRef>
              <c:f>Grafik!$D$6:$D$36</c:f>
            </c:numRef>
          </c:val>
          <c:smooth val="0"/>
        </c:ser>
        <c:ser>
          <c:idx val="1"/>
          <c:order val="1"/>
          <c:tx>
            <c:strRef>
              <c:f>Grafik!$E$5</c:f>
              <c:strCache>
                <c:ptCount val="1"/>
                <c:pt idx="0">
                  <c:v>Pagu Operasional</c:v>
                </c:pt>
              </c:strCache>
            </c:strRef>
          </c:tx>
          <c:spPr>
            <a:ln w="22225" cap="rnd">
              <a:solidFill>
                <a:srgbClr val="F4B183"/>
              </a:solidFill>
              <a:prstDash val="dash"/>
            </a:ln>
          </c:spPr>
          <c:marker>
            <c:symbol val="none"/>
          </c:marker>
          <c:cat>
            <c:numRef>
              <c:f>Grafik!$A$6:$A$36</c:f>
            </c:numRef>
          </c:cat>
          <c:val>
            <c:numRef>
              <c:f>Grafik!$E$6:$E$36</c:f>
            </c:numRef>
          </c:val>
          <c:smooth val="0"/>
        </c:ser>
        <c:marker val="1"/>
        <c:axId val="201"/>
        <c:axId val="202"/>
      </c:lineChart>
      <c:catAx>
        <c:axId val="201"/>
        <c:scaling>
          <c:orientation val="minMax"/>
        </c:scaling>
        <c:delete val="0"/>
        <c:axPos val="b"/>
        <c:numFmt formatCode="dd/mm" sourceLinked="0"/>
        <c:majorTickMark val="out"/>
        <c:tickLblPos val="nextTo"/>
        <c:txPr>
          <a:bodyPr rot="-2700000"/>
          <a:lstStyle/>
          <a:p>
            <a:pPr>
              <a:defRPr sz="900"/>
            </a:pPr>
            <a:endParaRPr lang="id-ID"/>
          </a:p>
        </c:txPr>
        <c:crossAx val="202"/>
      </c:catAx>
      <c:valAx>
        <c:axId val="202"/>
        <c:scaling>
          <c:orientation val="minMax"/>
        </c:scaling>
        <c:delete val="0"/>
        <c:axPos val="l"/>
        <c:majorGridlines>
          <c:spPr>
            <a:ln w="9525">
              <a:solidFill>
                <a:srgbClr val="E7E6E6"/>
              </a:solidFill>
            </a:ln>
          </c:spPr>
        </c:majorGridlines>
        <c:numFmt formatCode="&quot;Rp&quot;#,##0" sourceLinked="0"/>
        <c:majorTickMark val="out"/>
        <c:tickLblPos val="nextTo"/>
        <c:crossAx val="20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9D9D9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rPr lang="id-ID" b="1" sz="1600">
                <a:solidFill>
                  <a:srgbClr val="1F4E79"/>
                </a:solidFill>
              </a:rPr>
              <a:t>Surplus vs Defisit Harian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Grafik!$B$39</c:f>
              <c:strCache>
                <c:ptCount val="1"/>
                <c:pt idx="0">
                  <c:v>Surplus</c:v>
                </c:pt>
              </c:strCache>
            </c:strRef>
          </c:tx>
          <c:spPr>
            <a:solidFill>
              <a:srgbClr val="70AD47"/>
            </a:solidFill>
          </c:spPr>
          <c:cat>
            <c:numRef>
              <c:f>Grafik!$A$40:$A$70</c:f>
            </c:numRef>
          </c:cat>
          <c:val>
            <c:numRef>
              <c:f>Grafik!$B$40:$B$70</c:f>
            </c:numRef>
          </c:val>
        </c:ser>
        <c:ser>
          <c:idx val="1"/>
          <c:order val="1"/>
          <c:tx>
            <c:strRef>
              <c:f>Grafik!$C$39</c:f>
              <c:strCache>
                <c:ptCount val="1"/>
                <c:pt idx="0">
                  <c:v>Defisit</c:v>
                </c:pt>
              </c:strCache>
            </c:strRef>
          </c:tx>
          <c:spPr>
            <a:solidFill>
              <a:srgbClr val="C00000"/>
            </a:solidFill>
          </c:spPr>
          <c:cat>
            <c:numRef>
              <c:f>Grafik!$A$40:$A$70</c:f>
            </c:numRef>
          </c:cat>
          <c:val>
            <c:numRef>
              <c:f>Grafik!$C$40:$C$70</c:f>
            </c:numRef>
          </c:val>
        </c:ser>
        <c:gapWidth val="80"/>
        <c:overlap val="0"/>
        <c:axId val="301"/>
        <c:axId val="302"/>
      </c:barChart>
      <c:catAx>
        <c:axId val="301"/>
        <c:scaling>
          <c:orientation val="minMax"/>
        </c:scaling>
        <c:delete val="0"/>
        <c:axPos val="b"/>
        <c:numFmt formatCode="dd/mm" sourceLinked="0"/>
        <c:majorTickMark val="out"/>
        <c:tickLblPos val="nextTo"/>
        <c:txPr>
          <a:bodyPr rot="-2700000"/>
          <a:lstStyle/>
          <a:p>
            <a:pPr>
              <a:defRPr sz="900"/>
            </a:pPr>
            <a:endParaRPr lang="id-ID"/>
          </a:p>
        </c:txPr>
        <c:crossAx val="302"/>
      </c:catAx>
      <c:valAx>
        <c:axId val="302"/>
        <c:scaling>
          <c:orientation val="minMax"/>
        </c:scaling>
        <c:delete val="0"/>
        <c:axPos val="l"/>
        <c:majorGridlines>
          <c:spPr>
            <a:ln w="9525">
              <a:solidFill>
                <a:srgbClr val="E7E6E6"/>
              </a:solidFill>
            </a:ln>
          </c:spPr>
        </c:majorGridlines>
        <c:numFmt formatCode="&quot;Rp&quot;#,##0" sourceLinked="0"/>
        <c:majorTickMark val="out"/>
        <c:tickLblPos val="nextTo"/>
        <c:crossAx val="301"/>
      </c:valAx>
      <c:spPr>
        <a:noFill/>
        <a:ln>
          <a:noFill/>
        </a:ln>
      </c:spPr>
    </c:plotArea>
    <c:legend>
      <c:legendPos val="b"/>
      <c:overlay val="0"/>
    </c:legend>
    <c:plotVisOnly val="1"/>
  </c:chart>
  <c:spPr>
    <a:solidFill>
      <a:srgbClr val="FFFFFF"/>
    </a:solidFill>
    <a:ln w="9525">
      <a:solidFill>
        <a:srgbClr val="D9D9D9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rPr lang="id-ID" b="1" sz="1600">
                <a:solidFill>
                  <a:srgbClr val="1F4E79"/>
                </a:solidFill>
              </a:rPr>
              <a:t>Rekap Mingguan - Aktual vs Pagu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Grafik!$B$73</c:f>
              <c:strCache>
                <c:ptCount val="1"/>
                <c:pt idx="0">
                  <c:v>Aktual Pangan</c:v>
                </c:pt>
              </c:strCache>
            </c:strRef>
          </c:tx>
          <c:spPr>
            <a:solidFill>
              <a:srgbClr val="548235"/>
            </a:solidFill>
          </c:spPr>
          <c:cat>
            <c:strRef>
              <c:f>Grafik!$A$74:$A$78</c:f>
            </c:strRef>
          </c:cat>
          <c:val>
            <c:numRef>
              <c:f>Grafik!$B$74:$B$78</c:f>
            </c:numRef>
          </c:val>
        </c:ser>
        <c:ser>
          <c:idx val="1"/>
          <c:order val="1"/>
          <c:tx>
            <c:strRef>
              <c:f>Grafik!$C$73</c:f>
              <c:strCache>
                <c:ptCount val="1"/>
                <c:pt idx="0">
                  <c:v>Pagu Pangan</c:v>
                </c:pt>
              </c:strCache>
            </c:strRef>
          </c:tx>
          <c:spPr>
            <a:solidFill>
              <a:srgbClr val="A9D18E"/>
            </a:solidFill>
          </c:spPr>
          <c:cat>
            <c:strRef>
              <c:f>Grafik!$A$74:$A$78</c:f>
            </c:strRef>
          </c:cat>
          <c:val>
            <c:numRef>
              <c:f>Grafik!$C$74:$C$78</c:f>
            </c:numRef>
          </c:val>
        </c:ser>
        <c:ser>
          <c:idx val="2"/>
          <c:order val="2"/>
          <c:tx>
            <c:strRef>
              <c:f>Grafik!$D$73</c:f>
              <c:strCache>
                <c:ptCount val="1"/>
                <c:pt idx="0">
                  <c:v>Aktual Operasional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Grafik!$A$74:$A$78</c:f>
            </c:strRef>
          </c:cat>
          <c:val>
            <c:numRef>
              <c:f>Grafik!$D$74:$D$78</c:f>
            </c:numRef>
          </c:val>
        </c:ser>
        <c:ser>
          <c:idx val="3"/>
          <c:order val="3"/>
          <c:tx>
            <c:strRef>
              <c:f>Grafik!$E$73</c:f>
              <c:strCache>
                <c:ptCount val="1"/>
                <c:pt idx="0">
                  <c:v>Pagu Operasional</c:v>
                </c:pt>
              </c:strCache>
            </c:strRef>
          </c:tx>
          <c:spPr>
            <a:solidFill>
              <a:srgbClr val="F4B183"/>
            </a:solidFill>
          </c:spPr>
          <c:cat>
            <c:strRef>
              <c:f>Grafik!$A$74:$A$78</c:f>
            </c:strRef>
          </c:cat>
          <c:val>
            <c:numRef>
              <c:f>Grafik!$E$74:$E$78</c:f>
            </c:numRef>
          </c:val>
        </c:ser>
        <c:gapWidth val="100"/>
        <c:overlap val="-10"/>
        <c:axId val="401"/>
        <c:axId val="402"/>
      </c:barChart>
      <c:catAx>
        <c:axId val="401"/>
        <c:scaling>
          <c:orientation val="minMax"/>
        </c:scaling>
        <c:delete val="0"/>
        <c:axPos val="b"/>
        <c:majorTickMark val="out"/>
        <c:tickLblPos val="nextTo"/>
        <c:crossAx val="402"/>
      </c:catAx>
      <c:valAx>
        <c:axId val="402"/>
        <c:scaling>
          <c:orientation val="minMax"/>
        </c:scaling>
        <c:delete val="0"/>
        <c:axPos val="l"/>
        <c:majorGridlines>
          <c:spPr>
            <a:ln w="9525">
              <a:solidFill>
                <a:srgbClr val="E7E6E6"/>
              </a:solidFill>
            </a:ln>
          </c:spPr>
        </c:majorGridlines>
        <c:numFmt formatCode="&quot;Rp&quot;#,##0" sourceLinked="0"/>
        <c:majorTickMark val="out"/>
        <c:tickLblPos val="nextTo"/>
        <c:crossAx val="401"/>
      </c:valAx>
      <c:spPr>
        <a:noFill/>
        <a:ln>
          <a:noFill/>
        </a:ln>
      </c:spPr>
    </c:plotArea>
    <c:legend>
      <c:legendPos val="b"/>
      <c:overlay val="0"/>
    </c:legend>
    <c:plotVisOnly val="1"/>
  </c:chart>
  <c:spPr>
    <a:solidFill>
      <a:srgbClr val="FFFFFF"/>
    </a:solidFill>
    <a:ln w="9525">
      <a:solidFill>
        <a:srgbClr val="D9D9D9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rPr lang="id-ID" b="1" sz="1600">
                <a:solidFill>
                  <a:srgbClr val="1F4E79"/>
                </a:solidFill>
              </a:rPr>
              <a:t>Komposisi Pengeluaran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Grafik!$B$81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rgbClr val="548235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>
                <a:solidFill>
                  <a:srgbClr val="FFFFFF"/>
                </a:solidFill>
              </a:ln>
            </c:spPr>
          </c:dPt>
          <c:dLbls>
            <c:spPr>
              <a:solidFill>
                <a:srgbClr val="FFFFFF"/>
              </a:solidFill>
              <a:ln>
                <a:solidFill>
                  <a:srgbClr val="BFBFBF"/>
                </a:solidFill>
              </a:ln>
            </c:spPr>
            <c:txPr>
              <a:bodyPr/>
              <a:lstStyle/>
              <a:p>
                <a:pPr>
                  <a:defRPr sz="1100" b="1"/>
                </a:pPr>
                <a:endParaRPr lang="id-ID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</c:dLbls>
          <c:cat>
            <c:strRef>
              <c:f>Grafik!$A$82:$A$83</c:f>
            </c:strRef>
          </c:cat>
          <c:val>
            <c:numRef>
              <c:f>Grafik!$B$82:$B$83</c:f>
            </c:numRef>
          </c:val>
        </c:ser>
        <c:firstSliceAng val="0"/>
        <c:holeSize val="50"/>
      </c:doughnutChart>
    </c:plotArea>
    <c:legend>
      <c:legendPos val="b"/>
      <c:overlay val="0"/>
      <c:txPr>
        <a:bodyPr/>
        <a:lstStyle/>
        <a:p>
          <a:pPr>
            <a:defRPr sz="1100"/>
          </a:pPr>
          <a:endParaRPr lang="id-ID"/>
        </a:p>
      </c:txPr>
    </c:legend>
    <c:plotVisOnly val="1"/>
  </c:chart>
  <c:spPr>
    <a:solidFill>
      <a:srgbClr val="FFFFFF"/>
    </a:solidFill>
    <a:ln w="9525">
      <a:solidFill>
        <a:srgbClr val="D9D9D9"/>
      </a:solidFill>
    </a:ln>
  </c:spPr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  <Relationship Id="rId4" Type="http://schemas.openxmlformats.org/officeDocument/2006/relationships/chart" Target="../charts/chart4.xml"/>
  <Relationship Id="rId5" Type="http://schemas.openxmlformats.org/officeDocument/2006/relationships/chart" Target="../charts/chart5.xm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18</xdr:col>
      <xdr:colOff>0</xdr:colOff>
      <xdr:row>44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oneCell">
    <xdr:from>
      <xdr:col>6</xdr:col>
      <xdr:colOff>0</xdr:colOff>
      <xdr:row>45</xdr:row>
      <xdr:rowOff>0</xdr:rowOff>
    </xdr:from>
    <xdr:to>
      <xdr:col>18</xdr:col>
      <xdr:colOff>0</xdr:colOff>
      <xdr:row>66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 editAs="oneCell">
    <xdr:from>
      <xdr:col>6</xdr:col>
      <xdr:colOff>0</xdr:colOff>
      <xdr:row>67</xdr:row>
      <xdr:rowOff>0</xdr:rowOff>
    </xdr:from>
    <xdr:to>
      <xdr:col>18</xdr:col>
      <xdr:colOff>0</xdr:colOff>
      <xdr:row>88</xdr:row>
      <xdr:rowOff>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 editAs="oneCell">
    <xdr:from>
      <xdr:col>6</xdr:col>
      <xdr:colOff>0</xdr:colOff>
      <xdr:row>89</xdr:row>
      <xdr:rowOff>0</xdr:rowOff>
    </xdr:from>
    <xdr:to>
      <xdr:col>14</xdr:col>
      <xdr:colOff>0</xdr:colOff>
      <xdr:row>110</xdr:row>
      <xdr:rowOff>0</xdr:rowOff>
    </xdr:to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sheetViews>
    <sheetView workbookViewId="0">
      <pane xSplit="0" ySplit="4" topLeftCell="A5" activePane="bottomRight" state="frozen"/>
      <selection pane="bottomRight" activeCell="A5" sqref="A5"/>
    </sheetView>
  </sheetViews>
  <sheetFormatPr defaultRowHeight="17"/>
  <cols>
    <col min="1" max="1" width="44" customWidth="1"/>
    <col min="2" max="2" width="24" customWidth="1"/>
    <col min="3" max="3" width="24" customWidth="1"/>
    <col min="4" max="4" width="24" customWidth="1"/>
  </cols>
  <sheetData>
    <row r="1" ht="32" customHeight="1">
      <c r="A1" s="2" t="inlineStr">
        <is>
          <t xml:space="preserve">DASHBOARD LAPORAN KEUANGAN</t>
        </is>
      </c>
    </row>
    <row r="2" ht="20" customHeight="1">
      <c r="A2" s="31" t="inlineStr">
        <is>
          <t xml:space="preserve">SPPG Battuwinangun - Program Pemenuhan Gizi</t>
        </is>
      </c>
    </row>
    <row r="3">
      <c r="A3" s="12" t="inlineStr">
        <is>
          <t xml:space="preserve">Periode:</t>
        </is>
      </c>
      <c r="B3" s="15">
        <f>TEXT(Pengaturan!B3,"dd mmm yyyy")&amp;" s/d "&amp;TEXT(Pengaturan!B4,"dd mmm yyyy")</f>
      </c>
    </row>
    <row r="4">
</row>
    <row r="5">
      <c r="A5" s="30" t="inlineStr">
        <is>
          <t xml:space="preserve">TOTAL DANA ANGGARAN</t>
        </is>
      </c>
      <c r="B5" s="30" t="inlineStr">
        <is>
          <t xml:space="preserve">TOTAL DIPAKAI</t>
        </is>
      </c>
      <c r="C5" s="30" t="inlineStr">
        <is>
          <t xml:space="preserve">TOTAL SISA DANA</t>
        </is>
      </c>
      <c r="D5" s="30" t="inlineStr">
        <is>
          <t xml:space="preserve">% PENYERAPAN</t>
        </is>
      </c>
    </row>
    <row r="6">
      <c r="A6" s="22">
        <f>Pengaturan!B10</f>
      </c>
      <c r="B6" s="24">
        <f>'Pengeluaran Pangan'!G125+'Pengeluaran Operasional'!G123</f>
      </c>
      <c r="C6" s="23">
        <f>A6-B6</f>
      </c>
      <c r="D6" s="25">
        <f>IF(A6=0,0,B6/A6)</f>
      </c>
    </row>
    <row r="7">
</row>
    <row r="8">
      <c r="A8" s="21" t="inlineStr">
        <is>
          <t xml:space="preserve">A. PENGELUARAN BAHAN PANGAN</t>
        </is>
      </c>
    </row>
    <row r="9">
      <c r="A9" s="12" t="inlineStr">
        <is>
          <t xml:space="preserve">Rata-Rata Pengeluaran Bahan Pangan / Hari</t>
        </is>
      </c>
      <c r="B9" s="16">
        <f>IFERROR('Pengeluaran Pangan'!G125/Pengaturan!B5,0)</f>
      </c>
    </row>
    <row r="10">
      <c r="A10" s="12" t="inlineStr">
        <is>
          <t xml:space="preserve">Pengeluaran Bahan Pangan Seharusnya / Hari</t>
        </is>
      </c>
      <c r="B10" s="16">
        <f>Pengaturan!B13</f>
      </c>
    </row>
    <row r="11">
      <c r="A11" s="12" t="inlineStr">
        <is>
          <t xml:space="preserve">Selisih Pengeluaran Bahan Pangan / Hari</t>
        </is>
      </c>
      <c r="B11" s="17">
        <f>B10-B9</f>
      </c>
      <c r="C11" s="19" t="inlineStr">
        <is>
          <t xml:space="preserve">(positif = hemat)</t>
        </is>
      </c>
    </row>
    <row r="12">
</row>
    <row r="13">
      <c r="A13" s="12" t="inlineStr">
        <is>
          <t xml:space="preserve">Dana Total Bahan Pangan</t>
        </is>
      </c>
      <c r="B13" s="16">
        <f>Pengaturan!B8</f>
      </c>
    </row>
    <row r="14">
      <c r="A14" s="12" t="inlineStr">
        <is>
          <t xml:space="preserve">Penggunaan Dana Pangan</t>
        </is>
      </c>
      <c r="B14" s="9">
        <f>'Pengeluaran Pangan'!G125</f>
      </c>
    </row>
    <row r="15">
      <c r="A15" s="12" t="inlineStr">
        <is>
          <t xml:space="preserve">Sisa Dana Pangan</t>
        </is>
      </c>
      <c r="B15" s="17">
        <f>B13-B14</f>
      </c>
    </row>
    <row r="16">
      <c r="A16" s="12" t="inlineStr">
        <is>
          <t xml:space="preserve">% Penggunaan Dana Pangan</t>
        </is>
      </c>
      <c r="B16" s="6">
        <f>IF(B13=0,0,B14/B13)</f>
      </c>
    </row>
    <row r="17">
</row>
    <row r="18">
      <c r="A18" s="20" t="inlineStr">
        <is>
          <t xml:space="preserve">B. PENGELUARAN OPERASIONAL</t>
        </is>
      </c>
    </row>
    <row r="19">
      <c r="A19" s="12" t="inlineStr">
        <is>
          <t xml:space="preserve">Rata-Rata Pengeluaran Operasional / Hari</t>
        </is>
      </c>
      <c r="B19" s="16">
        <f>IFERROR('Pengeluaran Operasional'!G123/Pengaturan!B5,0)</f>
      </c>
    </row>
    <row r="20">
      <c r="A20" s="12" t="inlineStr">
        <is>
          <t xml:space="preserve">Pengeluaran Operasional Seharusnya / Hari</t>
        </is>
      </c>
      <c r="B20" s="16">
        <f>Pengaturan!B14</f>
      </c>
    </row>
    <row r="21">
      <c r="A21" s="12" t="inlineStr">
        <is>
          <t xml:space="preserve">Selisih Pengeluaran Operasional / Hari</t>
        </is>
      </c>
      <c r="B21" s="17">
        <f>B20-B19</f>
      </c>
      <c r="C21" s="19" t="inlineStr">
        <is>
          <t xml:space="preserve">(positif = hemat)</t>
        </is>
      </c>
    </row>
    <row r="22">
</row>
    <row r="23">
      <c r="A23" s="12" t="inlineStr">
        <is>
          <t xml:space="preserve">Dana Total Operasional</t>
        </is>
      </c>
      <c r="B23" s="16">
        <f>Pengaturan!B9</f>
      </c>
    </row>
    <row r="24">
      <c r="A24" s="12" t="inlineStr">
        <is>
          <t xml:space="preserve">Penggunaan Dana Operasional</t>
        </is>
      </c>
      <c r="B24" s="9">
        <f>'Pengeluaran Operasional'!G123</f>
      </c>
    </row>
    <row r="25">
      <c r="A25" s="12" t="inlineStr">
        <is>
          <t xml:space="preserve">Sisa Dana Operasional</t>
        </is>
      </c>
      <c r="B25" s="17">
        <f>B23-B24</f>
      </c>
    </row>
    <row r="26">
      <c r="A26" s="12" t="inlineStr">
        <is>
          <t xml:space="preserve">% Penggunaan Dana Operasional</t>
        </is>
      </c>
      <c r="B26" s="6">
        <f>IF(B23=0,0,B24/B23)</f>
      </c>
    </row>
    <row r="27">
</row>
    <row r="28">
      <c r="A28" s="1" t="inlineStr">
        <is>
          <t xml:space="preserve">C. RINGKASAN TOTAL</t>
        </is>
      </c>
    </row>
    <row r="29">
      <c r="A29" s="12" t="inlineStr">
        <is>
          <t xml:space="preserve">Total Dana Anggaran</t>
        </is>
      </c>
      <c r="B29" s="16">
        <f>B13+B23</f>
      </c>
    </row>
    <row r="30">
      <c r="A30" s="12" t="inlineStr">
        <is>
          <t xml:space="preserve">Total Penggunaan Dana</t>
        </is>
      </c>
      <c r="B30" s="16">
        <f>B14+B24</f>
      </c>
    </row>
    <row r="31">
      <c r="A31" s="12" t="inlineStr">
        <is>
          <t xml:space="preserve">Total Sisa Dana</t>
        </is>
      </c>
      <c r="B31" s="7">
        <f>B29-B30</f>
      </c>
    </row>
    <row r="32">
      <c r="A32" s="12" t="inlineStr">
        <is>
          <t xml:space="preserve">% Penyerapan Anggaran</t>
        </is>
      </c>
      <c r="B32" s="6">
        <f>IF(B29=0,0,B30/B29)</f>
      </c>
    </row>
    <row r="33">
</row>
    <row r="34">
      <c r="A34" s="12" t="inlineStr">
        <is>
          <t xml:space="preserve">Rata-Rata Total Pengeluaran / Hari</t>
        </is>
      </c>
      <c r="B34" s="16">
        <f>B9+B19</f>
      </c>
    </row>
    <row r="35">
      <c r="A35" s="12" t="inlineStr">
        <is>
          <t xml:space="preserve">Pagu Total / Hari (Seharusnya)</t>
        </is>
      </c>
      <c r="B35" s="16">
        <f>Pengaturan!B15</f>
      </c>
    </row>
    <row r="36">
      <c r="A36" s="12" t="inlineStr">
        <is>
          <t xml:space="preserve">Selisih Total / Hari</t>
        </is>
      </c>
      <c r="B36" s="17">
        <f>B35-B34</f>
      </c>
      <c r="C36" s="19" t="inlineStr">
        <is>
          <t xml:space="preserve">(positif = hemat)</t>
        </is>
      </c>
    </row>
    <row r="37">
</row>
    <row r="38">
      <c r="A38" s="34" t="inlineStr">
        <is>
          <t xml:space="preserve">D. ANALISIS SURPLUS/DEFISIT</t>
        </is>
      </c>
    </row>
    <row r="39">
      <c r="A39" s="12" t="inlineStr">
        <is>
          <t xml:space="preserve">Jumlah Hari SURPLUS (hemat)</t>
        </is>
      </c>
      <c r="B39" s="15">
        <f>COUNTIF('Rekap Harian'!N6:N36,"SURPLUS")</f>
      </c>
    </row>
    <row r="40">
      <c r="A40" s="12" t="inlineStr">
        <is>
          <t xml:space="preserve">Jumlah Hari DEFISIT (boros)</t>
        </is>
      </c>
      <c r="B40" s="15">
        <f>COUNTIF('Rekap Harian'!N6:N36,"DEFISIT")</f>
      </c>
    </row>
    <row r="41">
      <c r="A41" s="12" t="inlineStr">
        <is>
          <t xml:space="preserve">Jumlah Hari AMAN (pas pagu)</t>
        </is>
      </c>
      <c r="B41" s="15">
        <f>COUNTIF('Rekap Harian'!N6:N36,"AMAN")</f>
      </c>
    </row>
    <row r="42">
</row>
    <row r="43">
      <c r="A43" s="12" t="inlineStr">
        <is>
          <t xml:space="preserve">Total Akumulasi Surplus</t>
        </is>
      </c>
      <c r="B43" s="10">
        <f>SUMIF('Rekap Harian'!M6:M36,"&gt;0")</f>
      </c>
    </row>
    <row r="44">
      <c r="A44" s="12" t="inlineStr">
        <is>
          <t xml:space="preserve">Total Akumulasi Defisit</t>
        </is>
      </c>
      <c r="B44" s="9">
        <f>SUMIF('Rekap Harian'!M6:M36,"&lt;0")</f>
      </c>
    </row>
    <row r="45">
      <c r="A45" s="12" t="inlineStr">
        <is>
          <t xml:space="preserve">Net Surplus/Defisit</t>
        </is>
      </c>
      <c r="B45" s="7">
        <f>B43+B44</f>
      </c>
    </row>
    <row r="46">
</row>
    <row r="47">
      <c r="A47" s="12" t="inlineStr">
        <is>
          <t xml:space="preserve">Pengeluaran Tertinggi/Hari</t>
        </is>
      </c>
      <c r="B47" s="9">
        <f>MAX('Rekap Harian'!L6:L36)</f>
      </c>
    </row>
    <row r="48">
      <c r="A48" s="12" t="inlineStr">
        <is>
          <t xml:space="preserve">Pengeluaran Terendah/Hari</t>
        </is>
      </c>
      <c r="B48" s="10">
        <f>MINIFS('Rekap Harian'!L6:L36,'Rekap Harian'!L6:L36,"&gt;0")</f>
      </c>
    </row>
    <row r="49">
</row>
    <row r="50">
      <c r="A50" s="12" t="inlineStr">
        <is>
          <t xml:space="preserve">CATATAN:</t>
        </is>
      </c>
    </row>
    <row r="51">
      <c r="A51" s="19" t="inlineStr">
        <is>
          <t xml:space="preserve">- Dashboard update otomatis dari sheet lain. Edit hanya di Pengaturan, Pagu Harian, &amp; Log Pengeluaran.</t>
        </is>
      </c>
    </row>
    <row r="52">
      <c r="A52" s="19" t="inlineStr">
        <is>
          <t xml:space="preserve">- Selisih/Surplus POSITIF = hemat, NEGATIF = boros.</t>
        </is>
      </c>
    </row>
    <row r="53">
      <c r="A53" s="19" t="inlineStr">
        <is>
          <t xml:space="preserve">- Lihat detail harian di 'Rekap Harian', detail mingguan di 'Rekap Mingguan'.</t>
        </is>
      </c>
    </row>
    <row r="54">
      <c r="A54" s="19" t="inlineStr">
        <is>
          <t xml:space="preserve">- Visualisasi tersedia di sheet 'Grafik'.</t>
        </is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48235"/>
  </sheetPr>
  <sheetViews>
    <sheetView workbookViewId="0">
      <pane xSplit="2" ySplit="5" topLeftCell="C6" activePane="bottomRight" state="frozen"/>
      <selection pane="bottomRight" activeCell="C6" sqref="C6"/>
    </sheetView>
  </sheetViews>
  <sheetFormatPr defaultRowHeight="17"/>
  <cols>
    <col min="1" max="1" width="5" customWidth="1"/>
    <col min="2" max="2" width="14" customWidth="1"/>
    <col min="3" max="3" width="14" customWidth="1"/>
    <col min="4" max="4" width="7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8" customWidth="1"/>
    <col min="14" max="14" width="14" customWidth="1"/>
  </cols>
  <sheetData>
    <row r="1" ht="32" customHeight="1">
      <c r="A1" s="2" t="inlineStr">
        <is>
          <t xml:space="preserve">REKAP HARIAN PENGELUARAN</t>
        </is>
      </c>
    </row>
    <row r="2" ht="20" customHeight="1">
      <c r="A2" s="31" t="inlineStr">
        <is>
          <t xml:space="preserve">Setiap hari akan dihitung otomatis: pagu, aktual, selisih, dan status surplus/defisit</t>
        </is>
      </c>
    </row>
    <row r="3">
      <c r="A3" s="12" t="inlineStr">
        <is>
          <t xml:space="preserve">Periode:</t>
        </is>
      </c>
      <c r="B3" s="15">
        <f>TEXT(Pengaturan!B3,"dd mmm yyyy")&amp;" s/d "&amp;TEXT(Pengaturan!B4,"dd mmm yyyy")</f>
      </c>
    </row>
    <row r="4">
</row>
    <row r="5">
      <c r="A5" s="1" t="inlineStr">
        <is>
          <t xml:space="preserve">No</t>
        </is>
      </c>
      <c r="B5" s="1" t="inlineStr">
        <is>
          <t xml:space="preserve">Tanggal</t>
        </is>
      </c>
      <c r="C5" s="1" t="inlineStr">
        <is>
          <t xml:space="preserve">Hari</t>
        </is>
      </c>
      <c r="D5" s="1" t="inlineStr">
        <is>
          <t xml:space="preserve">Mg Ke</t>
        </is>
      </c>
      <c r="E5" s="21" t="inlineStr">
        <is>
          <t xml:space="preserve">Pagu Pangan</t>
        </is>
      </c>
      <c r="F5" s="21" t="inlineStr">
        <is>
          <t xml:space="preserve">Aktual Pangan</t>
        </is>
      </c>
      <c r="G5" s="21" t="inlineStr">
        <is>
          <t xml:space="preserve">Selisih Pangan</t>
        </is>
      </c>
      <c r="H5" s="20" t="inlineStr">
        <is>
          <t xml:space="preserve">Pagu Operasional</t>
        </is>
      </c>
      <c r="I5" s="20" t="inlineStr">
        <is>
          <t xml:space="preserve">Aktual Operasional</t>
        </is>
      </c>
      <c r="J5" s="20" t="inlineStr">
        <is>
          <t xml:space="preserve">Selisih Operasional</t>
        </is>
      </c>
      <c r="K5" s="1" t="inlineStr">
        <is>
          <t xml:space="preserve">Total Pagu</t>
        </is>
      </c>
      <c r="L5" s="1" t="inlineStr">
        <is>
          <t xml:space="preserve">Total Aktual</t>
        </is>
      </c>
      <c r="M5" s="1" t="inlineStr">
        <is>
          <t xml:space="preserve">Surplus/Defisit</t>
        </is>
      </c>
      <c r="N5" s="1" t="inlineStr">
        <is>
          <t xml:space="preserve">Status</t>
        </is>
      </c>
    </row>
    <row r="6">
      <c r="A6" s="15">
        <v>1</v>
      </c>
      <c r="B6" s="4">
        <f>IF(Pengaturan!$B$3+0&gt;Pengaturan!$B$4,"",Pengaturan!$B$3+0)</f>
      </c>
      <c r="C6" s="15">
        <f>IF(B6="","",TEXT(B6,"dddd"))</f>
      </c>
      <c r="D6" s="15">
        <f>IF(B6="","",INT((B6-Pengaturan!$B$3)/7)+1)</f>
      </c>
      <c r="E6" s="3">
        <f>IFERROR(VLOOKUP(B6,'Pagu Harian'!$A$4:$D$40,2,FALSE),Pengaturan!$B$13)</f>
      </c>
      <c r="F6" s="3">
        <f>IF(B6="",0,SUMIF('Pengeluaran Pangan'!A:A,B6,'Pengeluaran Pangan'!G:G))</f>
      </c>
      <c r="G6" s="17">
        <f>IF(B6="",0,E6-F6)</f>
      </c>
      <c r="H6" s="3">
        <f>IFERROR(VLOOKUP(B6,'Pagu Harian'!$A$4:$D$40,3,FALSE),Pengaturan!$B$14)</f>
      </c>
      <c r="I6" s="3">
        <f>IF(B6="",0,SUMIF('Pengeluaran Operasional'!A:A,B6,'Pengeluaran Operasional'!G:G))</f>
      </c>
      <c r="J6" s="17">
        <f>IF(B6="",0,H6-I6)</f>
      </c>
      <c r="K6" s="14">
        <f>E6+H6</f>
      </c>
      <c r="L6" s="14">
        <f>F6+I6</f>
      </c>
      <c r="M6" s="17">
        <f>K6-L6</f>
      </c>
      <c r="N6" s="26">
        <f>IF(B6="","",IF(M6&gt;0,"SURPLUS",IF(M6&lt;0,"DEFISIT","AMAN")))</f>
      </c>
    </row>
    <row r="7">
      <c r="A7" s="15">
        <v>2</v>
      </c>
      <c r="B7" s="4">
        <f>IF(Pengaturan!$B$3+1&gt;Pengaturan!$B$4,"",Pengaturan!$B$3+1)</f>
      </c>
      <c r="C7" s="15">
        <f>IF(B7="","",TEXT(B7,"dddd"))</f>
      </c>
      <c r="D7" s="15">
        <f>IF(B7="","",INT((B7-Pengaturan!$B$3)/7)+1)</f>
      </c>
      <c r="E7" s="3">
        <f>IFERROR(VLOOKUP(B7,'Pagu Harian'!$A$4:$D$40,2,FALSE),Pengaturan!$B$13)</f>
      </c>
      <c r="F7" s="3">
        <f>IF(B7="",0,SUMIF('Pengeluaran Pangan'!A:A,B7,'Pengeluaran Pangan'!G:G))</f>
      </c>
      <c r="G7" s="17">
        <f>IF(B7="",0,E7-F7)</f>
      </c>
      <c r="H7" s="3">
        <f>IFERROR(VLOOKUP(B7,'Pagu Harian'!$A$4:$D$40,3,FALSE),Pengaturan!$B$14)</f>
      </c>
      <c r="I7" s="3">
        <f>IF(B7="",0,SUMIF('Pengeluaran Operasional'!A:A,B7,'Pengeluaran Operasional'!G:G))</f>
      </c>
      <c r="J7" s="17">
        <f>IF(B7="",0,H7-I7)</f>
      </c>
      <c r="K7" s="14">
        <f>E7+H7</f>
      </c>
      <c r="L7" s="14">
        <f>F7+I7</f>
      </c>
      <c r="M7" s="17">
        <f>K7-L7</f>
      </c>
      <c r="N7" s="26">
        <f>IF(B7="","",IF(M7&gt;0,"SURPLUS",IF(M7&lt;0,"DEFISIT","AMAN")))</f>
      </c>
    </row>
    <row r="8">
      <c r="A8" s="15">
        <v>3</v>
      </c>
      <c r="B8" s="4">
        <f>IF(Pengaturan!$B$3+2&gt;Pengaturan!$B$4,"",Pengaturan!$B$3+2)</f>
      </c>
      <c r="C8" s="15">
        <f>IF(B8="","",TEXT(B8,"dddd"))</f>
      </c>
      <c r="D8" s="15">
        <f>IF(B8="","",INT((B8-Pengaturan!$B$3)/7)+1)</f>
      </c>
      <c r="E8" s="3">
        <f>IFERROR(VLOOKUP(B8,'Pagu Harian'!$A$4:$D$40,2,FALSE),Pengaturan!$B$13)</f>
      </c>
      <c r="F8" s="3">
        <f>IF(B8="",0,SUMIF('Pengeluaran Pangan'!A:A,B8,'Pengeluaran Pangan'!G:G))</f>
      </c>
      <c r="G8" s="17">
        <f>IF(B8="",0,E8-F8)</f>
      </c>
      <c r="H8" s="3">
        <f>IFERROR(VLOOKUP(B8,'Pagu Harian'!$A$4:$D$40,3,FALSE),Pengaturan!$B$14)</f>
      </c>
      <c r="I8" s="3">
        <f>IF(B8="",0,SUMIF('Pengeluaran Operasional'!A:A,B8,'Pengeluaran Operasional'!G:G))</f>
      </c>
      <c r="J8" s="17">
        <f>IF(B8="",0,H8-I8)</f>
      </c>
      <c r="K8" s="14">
        <f>E8+H8</f>
      </c>
      <c r="L8" s="14">
        <f>F8+I8</f>
      </c>
      <c r="M8" s="17">
        <f>K8-L8</f>
      </c>
      <c r="N8" s="26">
        <f>IF(B8="","",IF(M8&gt;0,"SURPLUS",IF(M8&lt;0,"DEFISIT","AMAN")))</f>
      </c>
    </row>
    <row r="9">
      <c r="A9" s="15">
        <v>4</v>
      </c>
      <c r="B9" s="4">
        <f>IF(Pengaturan!$B$3+3&gt;Pengaturan!$B$4,"",Pengaturan!$B$3+3)</f>
      </c>
      <c r="C9" s="15">
        <f>IF(B9="","",TEXT(B9,"dddd"))</f>
      </c>
      <c r="D9" s="15">
        <f>IF(B9="","",INT((B9-Pengaturan!$B$3)/7)+1)</f>
      </c>
      <c r="E9" s="3">
        <f>IFERROR(VLOOKUP(B9,'Pagu Harian'!$A$4:$D$40,2,FALSE),Pengaturan!$B$13)</f>
      </c>
      <c r="F9" s="3">
        <f>IF(B9="",0,SUMIF('Pengeluaran Pangan'!A:A,B9,'Pengeluaran Pangan'!G:G))</f>
      </c>
      <c r="G9" s="17">
        <f>IF(B9="",0,E9-F9)</f>
      </c>
      <c r="H9" s="3">
        <f>IFERROR(VLOOKUP(B9,'Pagu Harian'!$A$4:$D$40,3,FALSE),Pengaturan!$B$14)</f>
      </c>
      <c r="I9" s="3">
        <f>IF(B9="",0,SUMIF('Pengeluaran Operasional'!A:A,B9,'Pengeluaran Operasional'!G:G))</f>
      </c>
      <c r="J9" s="17">
        <f>IF(B9="",0,H9-I9)</f>
      </c>
      <c r="K9" s="14">
        <f>E9+H9</f>
      </c>
      <c r="L9" s="14">
        <f>F9+I9</f>
      </c>
      <c r="M9" s="17">
        <f>K9-L9</f>
      </c>
      <c r="N9" s="26">
        <f>IF(B9="","",IF(M9&gt;0,"SURPLUS",IF(M9&lt;0,"DEFISIT","AMAN")))</f>
      </c>
    </row>
    <row r="10">
      <c r="A10" s="15">
        <v>5</v>
      </c>
      <c r="B10" s="4">
        <f>IF(Pengaturan!$B$3+4&gt;Pengaturan!$B$4,"",Pengaturan!$B$3+4)</f>
      </c>
      <c r="C10" s="15">
        <f>IF(B10="","",TEXT(B10,"dddd"))</f>
      </c>
      <c r="D10" s="15">
        <f>IF(B10="","",INT((B10-Pengaturan!$B$3)/7)+1)</f>
      </c>
      <c r="E10" s="3">
        <f>IFERROR(VLOOKUP(B10,'Pagu Harian'!$A$4:$D$40,2,FALSE),Pengaturan!$B$13)</f>
      </c>
      <c r="F10" s="3">
        <f>IF(B10="",0,SUMIF('Pengeluaran Pangan'!A:A,B10,'Pengeluaran Pangan'!G:G))</f>
      </c>
      <c r="G10" s="17">
        <f>IF(B10="",0,E10-F10)</f>
      </c>
      <c r="H10" s="3">
        <f>IFERROR(VLOOKUP(B10,'Pagu Harian'!$A$4:$D$40,3,FALSE),Pengaturan!$B$14)</f>
      </c>
      <c r="I10" s="3">
        <f>IF(B10="",0,SUMIF('Pengeluaran Operasional'!A:A,B10,'Pengeluaran Operasional'!G:G))</f>
      </c>
      <c r="J10" s="17">
        <f>IF(B10="",0,H10-I10)</f>
      </c>
      <c r="K10" s="14">
        <f>E10+H10</f>
      </c>
      <c r="L10" s="14">
        <f>F10+I10</f>
      </c>
      <c r="M10" s="17">
        <f>K10-L10</f>
      </c>
      <c r="N10" s="26">
        <f>IF(B10="","",IF(M10&gt;0,"SURPLUS",IF(M10&lt;0,"DEFISIT","AMAN")))</f>
      </c>
    </row>
    <row r="11">
      <c r="A11" s="15">
        <v>6</v>
      </c>
      <c r="B11" s="4">
        <f>IF(Pengaturan!$B$3+5&gt;Pengaturan!$B$4,"",Pengaturan!$B$3+5)</f>
      </c>
      <c r="C11" s="15">
        <f>IF(B11="","",TEXT(B11,"dddd"))</f>
      </c>
      <c r="D11" s="15">
        <f>IF(B11="","",INT((B11-Pengaturan!$B$3)/7)+1)</f>
      </c>
      <c r="E11" s="3">
        <f>IFERROR(VLOOKUP(B11,'Pagu Harian'!$A$4:$D$40,2,FALSE),Pengaturan!$B$13)</f>
      </c>
      <c r="F11" s="3">
        <f>IF(B11="",0,SUMIF('Pengeluaran Pangan'!A:A,B11,'Pengeluaran Pangan'!G:G))</f>
      </c>
      <c r="G11" s="17">
        <f>IF(B11="",0,E11-F11)</f>
      </c>
      <c r="H11" s="3">
        <f>IFERROR(VLOOKUP(B11,'Pagu Harian'!$A$4:$D$40,3,FALSE),Pengaturan!$B$14)</f>
      </c>
      <c r="I11" s="3">
        <f>IF(B11="",0,SUMIF('Pengeluaran Operasional'!A:A,B11,'Pengeluaran Operasional'!G:G))</f>
      </c>
      <c r="J11" s="17">
        <f>IF(B11="",0,H11-I11)</f>
      </c>
      <c r="K11" s="14">
        <f>E11+H11</f>
      </c>
      <c r="L11" s="14">
        <f>F11+I11</f>
      </c>
      <c r="M11" s="17">
        <f>K11-L11</f>
      </c>
      <c r="N11" s="26">
        <f>IF(B11="","",IF(M11&gt;0,"SURPLUS",IF(M11&lt;0,"DEFISIT","AMAN")))</f>
      </c>
    </row>
    <row r="12">
      <c r="A12" s="15">
        <v>7</v>
      </c>
      <c r="B12" s="4">
        <f>IF(Pengaturan!$B$3+6&gt;Pengaturan!$B$4,"",Pengaturan!$B$3+6)</f>
      </c>
      <c r="C12" s="15">
        <f>IF(B12="","",TEXT(B12,"dddd"))</f>
      </c>
      <c r="D12" s="15">
        <f>IF(B12="","",INT((B12-Pengaturan!$B$3)/7)+1)</f>
      </c>
      <c r="E12" s="3">
        <f>IFERROR(VLOOKUP(B12,'Pagu Harian'!$A$4:$D$40,2,FALSE),Pengaturan!$B$13)</f>
      </c>
      <c r="F12" s="3">
        <f>IF(B12="",0,SUMIF('Pengeluaran Pangan'!A:A,B12,'Pengeluaran Pangan'!G:G))</f>
      </c>
      <c r="G12" s="17">
        <f>IF(B12="",0,E12-F12)</f>
      </c>
      <c r="H12" s="3">
        <f>IFERROR(VLOOKUP(B12,'Pagu Harian'!$A$4:$D$40,3,FALSE),Pengaturan!$B$14)</f>
      </c>
      <c r="I12" s="3">
        <f>IF(B12="",0,SUMIF('Pengeluaran Operasional'!A:A,B12,'Pengeluaran Operasional'!G:G))</f>
      </c>
      <c r="J12" s="17">
        <f>IF(B12="",0,H12-I12)</f>
      </c>
      <c r="K12" s="14">
        <f>E12+H12</f>
      </c>
      <c r="L12" s="14">
        <f>F12+I12</f>
      </c>
      <c r="M12" s="17">
        <f>K12-L12</f>
      </c>
      <c r="N12" s="26">
        <f>IF(B12="","",IF(M12&gt;0,"SURPLUS",IF(M12&lt;0,"DEFISIT","AMAN")))</f>
      </c>
    </row>
    <row r="13">
      <c r="A13" s="15">
        <v>8</v>
      </c>
      <c r="B13" s="4">
        <f>IF(Pengaturan!$B$3+7&gt;Pengaturan!$B$4,"",Pengaturan!$B$3+7)</f>
      </c>
      <c r="C13" s="15">
        <f>IF(B13="","",TEXT(B13,"dddd"))</f>
      </c>
      <c r="D13" s="15">
        <f>IF(B13="","",INT((B13-Pengaturan!$B$3)/7)+1)</f>
      </c>
      <c r="E13" s="3">
        <f>IFERROR(VLOOKUP(B13,'Pagu Harian'!$A$4:$D$40,2,FALSE),Pengaturan!$B$13)</f>
      </c>
      <c r="F13" s="3">
        <f>IF(B13="",0,SUMIF('Pengeluaran Pangan'!A:A,B13,'Pengeluaran Pangan'!G:G))</f>
      </c>
      <c r="G13" s="17">
        <f>IF(B13="",0,E13-F13)</f>
      </c>
      <c r="H13" s="3">
        <f>IFERROR(VLOOKUP(B13,'Pagu Harian'!$A$4:$D$40,3,FALSE),Pengaturan!$B$14)</f>
      </c>
      <c r="I13" s="3">
        <f>IF(B13="",0,SUMIF('Pengeluaran Operasional'!A:A,B13,'Pengeluaran Operasional'!G:G))</f>
      </c>
      <c r="J13" s="17">
        <f>IF(B13="",0,H13-I13)</f>
      </c>
      <c r="K13" s="14">
        <f>E13+H13</f>
      </c>
      <c r="L13" s="14">
        <f>F13+I13</f>
      </c>
      <c r="M13" s="17">
        <f>K13-L13</f>
      </c>
      <c r="N13" s="26">
        <f>IF(B13="","",IF(M13&gt;0,"SURPLUS",IF(M13&lt;0,"DEFISIT","AMAN")))</f>
      </c>
    </row>
    <row r="14">
      <c r="A14" s="15">
        <v>9</v>
      </c>
      <c r="B14" s="4">
        <f>IF(Pengaturan!$B$3+8&gt;Pengaturan!$B$4,"",Pengaturan!$B$3+8)</f>
      </c>
      <c r="C14" s="15">
        <f>IF(B14="","",TEXT(B14,"dddd"))</f>
      </c>
      <c r="D14" s="15">
        <f>IF(B14="","",INT((B14-Pengaturan!$B$3)/7)+1)</f>
      </c>
      <c r="E14" s="3">
        <f>IFERROR(VLOOKUP(B14,'Pagu Harian'!$A$4:$D$40,2,FALSE),Pengaturan!$B$13)</f>
      </c>
      <c r="F14" s="3">
        <f>IF(B14="",0,SUMIF('Pengeluaran Pangan'!A:A,B14,'Pengeluaran Pangan'!G:G))</f>
      </c>
      <c r="G14" s="17">
        <f>IF(B14="",0,E14-F14)</f>
      </c>
      <c r="H14" s="3">
        <f>IFERROR(VLOOKUP(B14,'Pagu Harian'!$A$4:$D$40,3,FALSE),Pengaturan!$B$14)</f>
      </c>
      <c r="I14" s="3">
        <f>IF(B14="",0,SUMIF('Pengeluaran Operasional'!A:A,B14,'Pengeluaran Operasional'!G:G))</f>
      </c>
      <c r="J14" s="17">
        <f>IF(B14="",0,H14-I14)</f>
      </c>
      <c r="K14" s="14">
        <f>E14+H14</f>
      </c>
      <c r="L14" s="14">
        <f>F14+I14</f>
      </c>
      <c r="M14" s="17">
        <f>K14-L14</f>
      </c>
      <c r="N14" s="26">
        <f>IF(B14="","",IF(M14&gt;0,"SURPLUS",IF(M14&lt;0,"DEFISIT","AMAN")))</f>
      </c>
    </row>
    <row r="15">
      <c r="A15" s="15">
        <v>10</v>
      </c>
      <c r="B15" s="4">
        <f>IF(Pengaturan!$B$3+9&gt;Pengaturan!$B$4,"",Pengaturan!$B$3+9)</f>
      </c>
      <c r="C15" s="15">
        <f>IF(B15="","",TEXT(B15,"dddd"))</f>
      </c>
      <c r="D15" s="15">
        <f>IF(B15="","",INT((B15-Pengaturan!$B$3)/7)+1)</f>
      </c>
      <c r="E15" s="3">
        <f>IFERROR(VLOOKUP(B15,'Pagu Harian'!$A$4:$D$40,2,FALSE),Pengaturan!$B$13)</f>
      </c>
      <c r="F15" s="3">
        <f>IF(B15="",0,SUMIF('Pengeluaran Pangan'!A:A,B15,'Pengeluaran Pangan'!G:G))</f>
      </c>
      <c r="G15" s="17">
        <f>IF(B15="",0,E15-F15)</f>
      </c>
      <c r="H15" s="3">
        <f>IFERROR(VLOOKUP(B15,'Pagu Harian'!$A$4:$D$40,3,FALSE),Pengaturan!$B$14)</f>
      </c>
      <c r="I15" s="3">
        <f>IF(B15="",0,SUMIF('Pengeluaran Operasional'!A:A,B15,'Pengeluaran Operasional'!G:G))</f>
      </c>
      <c r="J15" s="17">
        <f>IF(B15="",0,H15-I15)</f>
      </c>
      <c r="K15" s="14">
        <f>E15+H15</f>
      </c>
      <c r="L15" s="14">
        <f>F15+I15</f>
      </c>
      <c r="M15" s="17">
        <f>K15-L15</f>
      </c>
      <c r="N15" s="26">
        <f>IF(B15="","",IF(M15&gt;0,"SURPLUS",IF(M15&lt;0,"DEFISIT","AMAN")))</f>
      </c>
    </row>
    <row r="16">
      <c r="A16" s="15">
        <v>11</v>
      </c>
      <c r="B16" s="4">
        <f>IF(Pengaturan!$B$3+10&gt;Pengaturan!$B$4,"",Pengaturan!$B$3+10)</f>
      </c>
      <c r="C16" s="15">
        <f>IF(B16="","",TEXT(B16,"dddd"))</f>
      </c>
      <c r="D16" s="15">
        <f>IF(B16="","",INT((B16-Pengaturan!$B$3)/7)+1)</f>
      </c>
      <c r="E16" s="3">
        <f>IFERROR(VLOOKUP(B16,'Pagu Harian'!$A$4:$D$40,2,FALSE),Pengaturan!$B$13)</f>
      </c>
      <c r="F16" s="3">
        <f>IF(B16="",0,SUMIF('Pengeluaran Pangan'!A:A,B16,'Pengeluaran Pangan'!G:G))</f>
      </c>
      <c r="G16" s="17">
        <f>IF(B16="",0,E16-F16)</f>
      </c>
      <c r="H16" s="3">
        <f>IFERROR(VLOOKUP(B16,'Pagu Harian'!$A$4:$D$40,3,FALSE),Pengaturan!$B$14)</f>
      </c>
      <c r="I16" s="3">
        <f>IF(B16="",0,SUMIF('Pengeluaran Operasional'!A:A,B16,'Pengeluaran Operasional'!G:G))</f>
      </c>
      <c r="J16" s="17">
        <f>IF(B16="",0,H16-I16)</f>
      </c>
      <c r="K16" s="14">
        <f>E16+H16</f>
      </c>
      <c r="L16" s="14">
        <f>F16+I16</f>
      </c>
      <c r="M16" s="17">
        <f>K16-L16</f>
      </c>
      <c r="N16" s="26">
        <f>IF(B16="","",IF(M16&gt;0,"SURPLUS",IF(M16&lt;0,"DEFISIT","AMAN")))</f>
      </c>
    </row>
    <row r="17">
      <c r="A17" s="15">
        <v>12</v>
      </c>
      <c r="B17" s="4">
        <f>IF(Pengaturan!$B$3+11&gt;Pengaturan!$B$4,"",Pengaturan!$B$3+11)</f>
      </c>
      <c r="C17" s="15">
        <f>IF(B17="","",TEXT(B17,"dddd"))</f>
      </c>
      <c r="D17" s="15">
        <f>IF(B17="","",INT((B17-Pengaturan!$B$3)/7)+1)</f>
      </c>
      <c r="E17" s="3">
        <f>IFERROR(VLOOKUP(B17,'Pagu Harian'!$A$4:$D$40,2,FALSE),Pengaturan!$B$13)</f>
      </c>
      <c r="F17" s="3">
        <f>IF(B17="",0,SUMIF('Pengeluaran Pangan'!A:A,B17,'Pengeluaran Pangan'!G:G))</f>
      </c>
      <c r="G17" s="17">
        <f>IF(B17="",0,E17-F17)</f>
      </c>
      <c r="H17" s="3">
        <f>IFERROR(VLOOKUP(B17,'Pagu Harian'!$A$4:$D$40,3,FALSE),Pengaturan!$B$14)</f>
      </c>
      <c r="I17" s="3">
        <f>IF(B17="",0,SUMIF('Pengeluaran Operasional'!A:A,B17,'Pengeluaran Operasional'!G:G))</f>
      </c>
      <c r="J17" s="17">
        <f>IF(B17="",0,H17-I17)</f>
      </c>
      <c r="K17" s="14">
        <f>E17+H17</f>
      </c>
      <c r="L17" s="14">
        <f>F17+I17</f>
      </c>
      <c r="M17" s="17">
        <f>K17-L17</f>
      </c>
      <c r="N17" s="26">
        <f>IF(B17="","",IF(M17&gt;0,"SURPLUS",IF(M17&lt;0,"DEFISIT","AMAN")))</f>
      </c>
    </row>
    <row r="18">
      <c r="A18" s="15">
        <v>13</v>
      </c>
      <c r="B18" s="4">
        <f>IF(Pengaturan!$B$3+12&gt;Pengaturan!$B$4,"",Pengaturan!$B$3+12)</f>
      </c>
      <c r="C18" s="15">
        <f>IF(B18="","",TEXT(B18,"dddd"))</f>
      </c>
      <c r="D18" s="15">
        <f>IF(B18="","",INT((B18-Pengaturan!$B$3)/7)+1)</f>
      </c>
      <c r="E18" s="3">
        <f>IFERROR(VLOOKUP(B18,'Pagu Harian'!$A$4:$D$40,2,FALSE),Pengaturan!$B$13)</f>
      </c>
      <c r="F18" s="3">
        <f>IF(B18="",0,SUMIF('Pengeluaran Pangan'!A:A,B18,'Pengeluaran Pangan'!G:G))</f>
      </c>
      <c r="G18" s="17">
        <f>IF(B18="",0,E18-F18)</f>
      </c>
      <c r="H18" s="3">
        <f>IFERROR(VLOOKUP(B18,'Pagu Harian'!$A$4:$D$40,3,FALSE),Pengaturan!$B$14)</f>
      </c>
      <c r="I18" s="3">
        <f>IF(B18="",0,SUMIF('Pengeluaran Operasional'!A:A,B18,'Pengeluaran Operasional'!G:G))</f>
      </c>
      <c r="J18" s="17">
        <f>IF(B18="",0,H18-I18)</f>
      </c>
      <c r="K18" s="14">
        <f>E18+H18</f>
      </c>
      <c r="L18" s="14">
        <f>F18+I18</f>
      </c>
      <c r="M18" s="17">
        <f>K18-L18</f>
      </c>
      <c r="N18" s="26">
        <f>IF(B18="","",IF(M18&gt;0,"SURPLUS",IF(M18&lt;0,"DEFISIT","AMAN")))</f>
      </c>
    </row>
    <row r="19">
      <c r="A19" s="15">
        <v>14</v>
      </c>
      <c r="B19" s="4">
        <f>IF(Pengaturan!$B$3+13&gt;Pengaturan!$B$4,"",Pengaturan!$B$3+13)</f>
      </c>
      <c r="C19" s="15">
        <f>IF(B19="","",TEXT(B19,"dddd"))</f>
      </c>
      <c r="D19" s="15">
        <f>IF(B19="","",INT((B19-Pengaturan!$B$3)/7)+1)</f>
      </c>
      <c r="E19" s="3">
        <f>IFERROR(VLOOKUP(B19,'Pagu Harian'!$A$4:$D$40,2,FALSE),Pengaturan!$B$13)</f>
      </c>
      <c r="F19" s="3">
        <f>IF(B19="",0,SUMIF('Pengeluaran Pangan'!A:A,B19,'Pengeluaran Pangan'!G:G))</f>
      </c>
      <c r="G19" s="17">
        <f>IF(B19="",0,E19-F19)</f>
      </c>
      <c r="H19" s="3">
        <f>IFERROR(VLOOKUP(B19,'Pagu Harian'!$A$4:$D$40,3,FALSE),Pengaturan!$B$14)</f>
      </c>
      <c r="I19" s="3">
        <f>IF(B19="",0,SUMIF('Pengeluaran Operasional'!A:A,B19,'Pengeluaran Operasional'!G:G))</f>
      </c>
      <c r="J19" s="17">
        <f>IF(B19="",0,H19-I19)</f>
      </c>
      <c r="K19" s="14">
        <f>E19+H19</f>
      </c>
      <c r="L19" s="14">
        <f>F19+I19</f>
      </c>
      <c r="M19" s="17">
        <f>K19-L19</f>
      </c>
      <c r="N19" s="26">
        <f>IF(B19="","",IF(M19&gt;0,"SURPLUS",IF(M19&lt;0,"DEFISIT","AMAN")))</f>
      </c>
    </row>
    <row r="20">
      <c r="A20" s="15">
        <v>15</v>
      </c>
      <c r="B20" s="4">
        <f>IF(Pengaturan!$B$3+14&gt;Pengaturan!$B$4,"",Pengaturan!$B$3+14)</f>
      </c>
      <c r="C20" s="15">
        <f>IF(B20="","",TEXT(B20,"dddd"))</f>
      </c>
      <c r="D20" s="15">
        <f>IF(B20="","",INT((B20-Pengaturan!$B$3)/7)+1)</f>
      </c>
      <c r="E20" s="3">
        <f>IFERROR(VLOOKUP(B20,'Pagu Harian'!$A$4:$D$40,2,FALSE),Pengaturan!$B$13)</f>
      </c>
      <c r="F20" s="3">
        <f>IF(B20="",0,SUMIF('Pengeluaran Pangan'!A:A,B20,'Pengeluaran Pangan'!G:G))</f>
      </c>
      <c r="G20" s="17">
        <f>IF(B20="",0,E20-F20)</f>
      </c>
      <c r="H20" s="3">
        <f>IFERROR(VLOOKUP(B20,'Pagu Harian'!$A$4:$D$40,3,FALSE),Pengaturan!$B$14)</f>
      </c>
      <c r="I20" s="3">
        <f>IF(B20="",0,SUMIF('Pengeluaran Operasional'!A:A,B20,'Pengeluaran Operasional'!G:G))</f>
      </c>
      <c r="J20" s="17">
        <f>IF(B20="",0,H20-I20)</f>
      </c>
      <c r="K20" s="14">
        <f>E20+H20</f>
      </c>
      <c r="L20" s="14">
        <f>F20+I20</f>
      </c>
      <c r="M20" s="17">
        <f>K20-L20</f>
      </c>
      <c r="N20" s="26">
        <f>IF(B20="","",IF(M20&gt;0,"SURPLUS",IF(M20&lt;0,"DEFISIT","AMAN")))</f>
      </c>
    </row>
    <row r="21">
      <c r="A21" s="15">
        <v>16</v>
      </c>
      <c r="B21" s="4">
        <f>IF(Pengaturan!$B$3+15&gt;Pengaturan!$B$4,"",Pengaturan!$B$3+15)</f>
      </c>
      <c r="C21" s="15">
        <f>IF(B21="","",TEXT(B21,"dddd"))</f>
      </c>
      <c r="D21" s="15">
        <f>IF(B21="","",INT((B21-Pengaturan!$B$3)/7)+1)</f>
      </c>
      <c r="E21" s="3">
        <f>IFERROR(VLOOKUP(B21,'Pagu Harian'!$A$4:$D$40,2,FALSE),Pengaturan!$B$13)</f>
      </c>
      <c r="F21" s="3">
        <f>IF(B21="",0,SUMIF('Pengeluaran Pangan'!A:A,B21,'Pengeluaran Pangan'!G:G))</f>
      </c>
      <c r="G21" s="17">
        <f>IF(B21="",0,E21-F21)</f>
      </c>
      <c r="H21" s="3">
        <f>IFERROR(VLOOKUP(B21,'Pagu Harian'!$A$4:$D$40,3,FALSE),Pengaturan!$B$14)</f>
      </c>
      <c r="I21" s="3">
        <f>IF(B21="",0,SUMIF('Pengeluaran Operasional'!A:A,B21,'Pengeluaran Operasional'!G:G))</f>
      </c>
      <c r="J21" s="17">
        <f>IF(B21="",0,H21-I21)</f>
      </c>
      <c r="K21" s="14">
        <f>E21+H21</f>
      </c>
      <c r="L21" s="14">
        <f>F21+I21</f>
      </c>
      <c r="M21" s="17">
        <f>K21-L21</f>
      </c>
      <c r="N21" s="26">
        <f>IF(B21="","",IF(M21&gt;0,"SURPLUS",IF(M21&lt;0,"DEFISIT","AMAN")))</f>
      </c>
    </row>
    <row r="22">
      <c r="A22" s="15">
        <v>17</v>
      </c>
      <c r="B22" s="4">
        <f>IF(Pengaturan!$B$3+16&gt;Pengaturan!$B$4,"",Pengaturan!$B$3+16)</f>
      </c>
      <c r="C22" s="15">
        <f>IF(B22="","",TEXT(B22,"dddd"))</f>
      </c>
      <c r="D22" s="15">
        <f>IF(B22="","",INT((B22-Pengaturan!$B$3)/7)+1)</f>
      </c>
      <c r="E22" s="3">
        <f>IFERROR(VLOOKUP(B22,'Pagu Harian'!$A$4:$D$40,2,FALSE),Pengaturan!$B$13)</f>
      </c>
      <c r="F22" s="3">
        <f>IF(B22="",0,SUMIF('Pengeluaran Pangan'!A:A,B22,'Pengeluaran Pangan'!G:G))</f>
      </c>
      <c r="G22" s="17">
        <f>IF(B22="",0,E22-F22)</f>
      </c>
      <c r="H22" s="3">
        <f>IFERROR(VLOOKUP(B22,'Pagu Harian'!$A$4:$D$40,3,FALSE),Pengaturan!$B$14)</f>
      </c>
      <c r="I22" s="3">
        <f>IF(B22="",0,SUMIF('Pengeluaran Operasional'!A:A,B22,'Pengeluaran Operasional'!G:G))</f>
      </c>
      <c r="J22" s="17">
        <f>IF(B22="",0,H22-I22)</f>
      </c>
      <c r="K22" s="14">
        <f>E22+H22</f>
      </c>
      <c r="L22" s="14">
        <f>F22+I22</f>
      </c>
      <c r="M22" s="17">
        <f>K22-L22</f>
      </c>
      <c r="N22" s="26">
        <f>IF(B22="","",IF(M22&gt;0,"SURPLUS",IF(M22&lt;0,"DEFISIT","AMAN")))</f>
      </c>
    </row>
    <row r="23">
      <c r="A23" s="15">
        <v>18</v>
      </c>
      <c r="B23" s="4">
        <f>IF(Pengaturan!$B$3+17&gt;Pengaturan!$B$4,"",Pengaturan!$B$3+17)</f>
      </c>
      <c r="C23" s="15">
        <f>IF(B23="","",TEXT(B23,"dddd"))</f>
      </c>
      <c r="D23" s="15">
        <f>IF(B23="","",INT((B23-Pengaturan!$B$3)/7)+1)</f>
      </c>
      <c r="E23" s="3">
        <f>IFERROR(VLOOKUP(B23,'Pagu Harian'!$A$4:$D$40,2,FALSE),Pengaturan!$B$13)</f>
      </c>
      <c r="F23" s="3">
        <f>IF(B23="",0,SUMIF('Pengeluaran Pangan'!A:A,B23,'Pengeluaran Pangan'!G:G))</f>
      </c>
      <c r="G23" s="17">
        <f>IF(B23="",0,E23-F23)</f>
      </c>
      <c r="H23" s="3">
        <f>IFERROR(VLOOKUP(B23,'Pagu Harian'!$A$4:$D$40,3,FALSE),Pengaturan!$B$14)</f>
      </c>
      <c r="I23" s="3">
        <f>IF(B23="",0,SUMIF('Pengeluaran Operasional'!A:A,B23,'Pengeluaran Operasional'!G:G))</f>
      </c>
      <c r="J23" s="17">
        <f>IF(B23="",0,H23-I23)</f>
      </c>
      <c r="K23" s="14">
        <f>E23+H23</f>
      </c>
      <c r="L23" s="14">
        <f>F23+I23</f>
      </c>
      <c r="M23" s="17">
        <f>K23-L23</f>
      </c>
      <c r="N23" s="26">
        <f>IF(B23="","",IF(M23&gt;0,"SURPLUS",IF(M23&lt;0,"DEFISIT","AMAN")))</f>
      </c>
    </row>
    <row r="24">
      <c r="A24" s="15">
        <v>19</v>
      </c>
      <c r="B24" s="4">
        <f>IF(Pengaturan!$B$3+18&gt;Pengaturan!$B$4,"",Pengaturan!$B$3+18)</f>
      </c>
      <c r="C24" s="15">
        <f>IF(B24="","",TEXT(B24,"dddd"))</f>
      </c>
      <c r="D24" s="15">
        <f>IF(B24="","",INT((B24-Pengaturan!$B$3)/7)+1)</f>
      </c>
      <c r="E24" s="3">
        <f>IFERROR(VLOOKUP(B24,'Pagu Harian'!$A$4:$D$40,2,FALSE),Pengaturan!$B$13)</f>
      </c>
      <c r="F24" s="3">
        <f>IF(B24="",0,SUMIF('Pengeluaran Pangan'!A:A,B24,'Pengeluaran Pangan'!G:G))</f>
      </c>
      <c r="G24" s="17">
        <f>IF(B24="",0,E24-F24)</f>
      </c>
      <c r="H24" s="3">
        <f>IFERROR(VLOOKUP(B24,'Pagu Harian'!$A$4:$D$40,3,FALSE),Pengaturan!$B$14)</f>
      </c>
      <c r="I24" s="3">
        <f>IF(B24="",0,SUMIF('Pengeluaran Operasional'!A:A,B24,'Pengeluaran Operasional'!G:G))</f>
      </c>
      <c r="J24" s="17">
        <f>IF(B24="",0,H24-I24)</f>
      </c>
      <c r="K24" s="14">
        <f>E24+H24</f>
      </c>
      <c r="L24" s="14">
        <f>F24+I24</f>
      </c>
      <c r="M24" s="17">
        <f>K24-L24</f>
      </c>
      <c r="N24" s="26">
        <f>IF(B24="","",IF(M24&gt;0,"SURPLUS",IF(M24&lt;0,"DEFISIT","AMAN")))</f>
      </c>
    </row>
    <row r="25">
      <c r="A25" s="15">
        <v>20</v>
      </c>
      <c r="B25" s="4">
        <f>IF(Pengaturan!$B$3+19&gt;Pengaturan!$B$4,"",Pengaturan!$B$3+19)</f>
      </c>
      <c r="C25" s="15">
        <f>IF(B25="","",TEXT(B25,"dddd"))</f>
      </c>
      <c r="D25" s="15">
        <f>IF(B25="","",INT((B25-Pengaturan!$B$3)/7)+1)</f>
      </c>
      <c r="E25" s="3">
        <f>IFERROR(VLOOKUP(B25,'Pagu Harian'!$A$4:$D$40,2,FALSE),Pengaturan!$B$13)</f>
      </c>
      <c r="F25" s="3">
        <f>IF(B25="",0,SUMIF('Pengeluaran Pangan'!A:A,B25,'Pengeluaran Pangan'!G:G))</f>
      </c>
      <c r="G25" s="17">
        <f>IF(B25="",0,E25-F25)</f>
      </c>
      <c r="H25" s="3">
        <f>IFERROR(VLOOKUP(B25,'Pagu Harian'!$A$4:$D$40,3,FALSE),Pengaturan!$B$14)</f>
      </c>
      <c r="I25" s="3">
        <f>IF(B25="",0,SUMIF('Pengeluaran Operasional'!A:A,B25,'Pengeluaran Operasional'!G:G))</f>
      </c>
      <c r="J25" s="17">
        <f>IF(B25="",0,H25-I25)</f>
      </c>
      <c r="K25" s="14">
        <f>E25+H25</f>
      </c>
      <c r="L25" s="14">
        <f>F25+I25</f>
      </c>
      <c r="M25" s="17">
        <f>K25-L25</f>
      </c>
      <c r="N25" s="26">
        <f>IF(B25="","",IF(M25&gt;0,"SURPLUS",IF(M25&lt;0,"DEFISIT","AMAN")))</f>
      </c>
    </row>
    <row r="26">
      <c r="A26" s="15">
        <v>21</v>
      </c>
      <c r="B26" s="4">
        <f>IF(Pengaturan!$B$3+20&gt;Pengaturan!$B$4,"",Pengaturan!$B$3+20)</f>
      </c>
      <c r="C26" s="15">
        <f>IF(B26="","",TEXT(B26,"dddd"))</f>
      </c>
      <c r="D26" s="15">
        <f>IF(B26="","",INT((B26-Pengaturan!$B$3)/7)+1)</f>
      </c>
      <c r="E26" s="3">
        <f>IFERROR(VLOOKUP(B26,'Pagu Harian'!$A$4:$D$40,2,FALSE),Pengaturan!$B$13)</f>
      </c>
      <c r="F26" s="3">
        <f>IF(B26="",0,SUMIF('Pengeluaran Pangan'!A:A,B26,'Pengeluaran Pangan'!G:G))</f>
      </c>
      <c r="G26" s="17">
        <f>IF(B26="",0,E26-F26)</f>
      </c>
      <c r="H26" s="3">
        <f>IFERROR(VLOOKUP(B26,'Pagu Harian'!$A$4:$D$40,3,FALSE),Pengaturan!$B$14)</f>
      </c>
      <c r="I26" s="3">
        <f>IF(B26="",0,SUMIF('Pengeluaran Operasional'!A:A,B26,'Pengeluaran Operasional'!G:G))</f>
      </c>
      <c r="J26" s="17">
        <f>IF(B26="",0,H26-I26)</f>
      </c>
      <c r="K26" s="14">
        <f>E26+H26</f>
      </c>
      <c r="L26" s="14">
        <f>F26+I26</f>
      </c>
      <c r="M26" s="17">
        <f>K26-L26</f>
      </c>
      <c r="N26" s="26">
        <f>IF(B26="","",IF(M26&gt;0,"SURPLUS",IF(M26&lt;0,"DEFISIT","AMAN")))</f>
      </c>
    </row>
    <row r="27">
      <c r="A27" s="15">
        <v>22</v>
      </c>
      <c r="B27" s="4">
        <f>IF(Pengaturan!$B$3+21&gt;Pengaturan!$B$4,"",Pengaturan!$B$3+21)</f>
      </c>
      <c r="C27" s="15">
        <f>IF(B27="","",TEXT(B27,"dddd"))</f>
      </c>
      <c r="D27" s="15">
        <f>IF(B27="","",INT((B27-Pengaturan!$B$3)/7)+1)</f>
      </c>
      <c r="E27" s="3">
        <f>IFERROR(VLOOKUP(B27,'Pagu Harian'!$A$4:$D$40,2,FALSE),Pengaturan!$B$13)</f>
      </c>
      <c r="F27" s="3">
        <f>IF(B27="",0,SUMIF('Pengeluaran Pangan'!A:A,B27,'Pengeluaran Pangan'!G:G))</f>
      </c>
      <c r="G27" s="17">
        <f>IF(B27="",0,E27-F27)</f>
      </c>
      <c r="H27" s="3">
        <f>IFERROR(VLOOKUP(B27,'Pagu Harian'!$A$4:$D$40,3,FALSE),Pengaturan!$B$14)</f>
      </c>
      <c r="I27" s="3">
        <f>IF(B27="",0,SUMIF('Pengeluaran Operasional'!A:A,B27,'Pengeluaran Operasional'!G:G))</f>
      </c>
      <c r="J27" s="17">
        <f>IF(B27="",0,H27-I27)</f>
      </c>
      <c r="K27" s="14">
        <f>E27+H27</f>
      </c>
      <c r="L27" s="14">
        <f>F27+I27</f>
      </c>
      <c r="M27" s="17">
        <f>K27-L27</f>
      </c>
      <c r="N27" s="26">
        <f>IF(B27="","",IF(M27&gt;0,"SURPLUS",IF(M27&lt;0,"DEFISIT","AMAN")))</f>
      </c>
    </row>
    <row r="28">
      <c r="A28" s="15">
        <v>23</v>
      </c>
      <c r="B28" s="4">
        <f>IF(Pengaturan!$B$3+22&gt;Pengaturan!$B$4,"",Pengaturan!$B$3+22)</f>
      </c>
      <c r="C28" s="15">
        <f>IF(B28="","",TEXT(B28,"dddd"))</f>
      </c>
      <c r="D28" s="15">
        <f>IF(B28="","",INT((B28-Pengaturan!$B$3)/7)+1)</f>
      </c>
      <c r="E28" s="3">
        <f>IFERROR(VLOOKUP(B28,'Pagu Harian'!$A$4:$D$40,2,FALSE),Pengaturan!$B$13)</f>
      </c>
      <c r="F28" s="3">
        <f>IF(B28="",0,SUMIF('Pengeluaran Pangan'!A:A,B28,'Pengeluaran Pangan'!G:G))</f>
      </c>
      <c r="G28" s="17">
        <f>IF(B28="",0,E28-F28)</f>
      </c>
      <c r="H28" s="3">
        <f>IFERROR(VLOOKUP(B28,'Pagu Harian'!$A$4:$D$40,3,FALSE),Pengaturan!$B$14)</f>
      </c>
      <c r="I28" s="3">
        <f>IF(B28="",0,SUMIF('Pengeluaran Operasional'!A:A,B28,'Pengeluaran Operasional'!G:G))</f>
      </c>
      <c r="J28" s="17">
        <f>IF(B28="",0,H28-I28)</f>
      </c>
      <c r="K28" s="14">
        <f>E28+H28</f>
      </c>
      <c r="L28" s="14">
        <f>F28+I28</f>
      </c>
      <c r="M28" s="17">
        <f>K28-L28</f>
      </c>
      <c r="N28" s="26">
        <f>IF(B28="","",IF(M28&gt;0,"SURPLUS",IF(M28&lt;0,"DEFISIT","AMAN")))</f>
      </c>
    </row>
    <row r="29">
      <c r="A29" s="15">
        <v>24</v>
      </c>
      <c r="B29" s="4">
        <f>IF(Pengaturan!$B$3+23&gt;Pengaturan!$B$4,"",Pengaturan!$B$3+23)</f>
      </c>
      <c r="C29" s="15">
        <f>IF(B29="","",TEXT(B29,"dddd"))</f>
      </c>
      <c r="D29" s="15">
        <f>IF(B29="","",INT((B29-Pengaturan!$B$3)/7)+1)</f>
      </c>
      <c r="E29" s="3">
        <f>IFERROR(VLOOKUP(B29,'Pagu Harian'!$A$4:$D$40,2,FALSE),Pengaturan!$B$13)</f>
      </c>
      <c r="F29" s="3">
        <f>IF(B29="",0,SUMIF('Pengeluaran Pangan'!A:A,B29,'Pengeluaran Pangan'!G:G))</f>
      </c>
      <c r="G29" s="17">
        <f>IF(B29="",0,E29-F29)</f>
      </c>
      <c r="H29" s="3">
        <f>IFERROR(VLOOKUP(B29,'Pagu Harian'!$A$4:$D$40,3,FALSE),Pengaturan!$B$14)</f>
      </c>
      <c r="I29" s="3">
        <f>IF(B29="",0,SUMIF('Pengeluaran Operasional'!A:A,B29,'Pengeluaran Operasional'!G:G))</f>
      </c>
      <c r="J29" s="17">
        <f>IF(B29="",0,H29-I29)</f>
      </c>
      <c r="K29" s="14">
        <f>E29+H29</f>
      </c>
      <c r="L29" s="14">
        <f>F29+I29</f>
      </c>
      <c r="M29" s="17">
        <f>K29-L29</f>
      </c>
      <c r="N29" s="26">
        <f>IF(B29="","",IF(M29&gt;0,"SURPLUS",IF(M29&lt;0,"DEFISIT","AMAN")))</f>
      </c>
    </row>
    <row r="30">
      <c r="A30" s="15">
        <v>25</v>
      </c>
      <c r="B30" s="4">
        <f>IF(Pengaturan!$B$3+24&gt;Pengaturan!$B$4,"",Pengaturan!$B$3+24)</f>
      </c>
      <c r="C30" s="15">
        <f>IF(B30="","",TEXT(B30,"dddd"))</f>
      </c>
      <c r="D30" s="15">
        <f>IF(B30="","",INT((B30-Pengaturan!$B$3)/7)+1)</f>
      </c>
      <c r="E30" s="3">
        <f>IFERROR(VLOOKUP(B30,'Pagu Harian'!$A$4:$D$40,2,FALSE),Pengaturan!$B$13)</f>
      </c>
      <c r="F30" s="3">
        <f>IF(B30="",0,SUMIF('Pengeluaran Pangan'!A:A,B30,'Pengeluaran Pangan'!G:G))</f>
      </c>
      <c r="G30" s="17">
        <f>IF(B30="",0,E30-F30)</f>
      </c>
      <c r="H30" s="3">
        <f>IFERROR(VLOOKUP(B30,'Pagu Harian'!$A$4:$D$40,3,FALSE),Pengaturan!$B$14)</f>
      </c>
      <c r="I30" s="3">
        <f>IF(B30="",0,SUMIF('Pengeluaran Operasional'!A:A,B30,'Pengeluaran Operasional'!G:G))</f>
      </c>
      <c r="J30" s="17">
        <f>IF(B30="",0,H30-I30)</f>
      </c>
      <c r="K30" s="14">
        <f>E30+H30</f>
      </c>
      <c r="L30" s="14">
        <f>F30+I30</f>
      </c>
      <c r="M30" s="17">
        <f>K30-L30</f>
      </c>
      <c r="N30" s="26">
        <f>IF(B30="","",IF(M30&gt;0,"SURPLUS",IF(M30&lt;0,"DEFISIT","AMAN")))</f>
      </c>
    </row>
    <row r="31">
      <c r="A31" s="15">
        <v>26</v>
      </c>
      <c r="B31" s="4">
        <f>IF(Pengaturan!$B$3+25&gt;Pengaturan!$B$4,"",Pengaturan!$B$3+25)</f>
      </c>
      <c r="C31" s="15">
        <f>IF(B31="","",TEXT(B31,"dddd"))</f>
      </c>
      <c r="D31" s="15">
        <f>IF(B31="","",INT((B31-Pengaturan!$B$3)/7)+1)</f>
      </c>
      <c r="E31" s="3">
        <f>IFERROR(VLOOKUP(B31,'Pagu Harian'!$A$4:$D$40,2,FALSE),Pengaturan!$B$13)</f>
      </c>
      <c r="F31" s="3">
        <f>IF(B31="",0,SUMIF('Pengeluaran Pangan'!A:A,B31,'Pengeluaran Pangan'!G:G))</f>
      </c>
      <c r="G31" s="17">
        <f>IF(B31="",0,E31-F31)</f>
      </c>
      <c r="H31" s="3">
        <f>IFERROR(VLOOKUP(B31,'Pagu Harian'!$A$4:$D$40,3,FALSE),Pengaturan!$B$14)</f>
      </c>
      <c r="I31" s="3">
        <f>IF(B31="",0,SUMIF('Pengeluaran Operasional'!A:A,B31,'Pengeluaran Operasional'!G:G))</f>
      </c>
      <c r="J31" s="17">
        <f>IF(B31="",0,H31-I31)</f>
      </c>
      <c r="K31" s="14">
        <f>E31+H31</f>
      </c>
      <c r="L31" s="14">
        <f>F31+I31</f>
      </c>
      <c r="M31" s="17">
        <f>K31-L31</f>
      </c>
      <c r="N31" s="26">
        <f>IF(B31="","",IF(M31&gt;0,"SURPLUS",IF(M31&lt;0,"DEFISIT","AMAN")))</f>
      </c>
    </row>
    <row r="32">
      <c r="A32" s="15">
        <v>27</v>
      </c>
      <c r="B32" s="4">
        <f>IF(Pengaturan!$B$3+26&gt;Pengaturan!$B$4,"",Pengaturan!$B$3+26)</f>
      </c>
      <c r="C32" s="15">
        <f>IF(B32="","",TEXT(B32,"dddd"))</f>
      </c>
      <c r="D32" s="15">
        <f>IF(B32="","",INT((B32-Pengaturan!$B$3)/7)+1)</f>
      </c>
      <c r="E32" s="3">
        <f>IFERROR(VLOOKUP(B32,'Pagu Harian'!$A$4:$D$40,2,FALSE),Pengaturan!$B$13)</f>
      </c>
      <c r="F32" s="3">
        <f>IF(B32="",0,SUMIF('Pengeluaran Pangan'!A:A,B32,'Pengeluaran Pangan'!G:G))</f>
      </c>
      <c r="G32" s="17">
        <f>IF(B32="",0,E32-F32)</f>
      </c>
      <c r="H32" s="3">
        <f>IFERROR(VLOOKUP(B32,'Pagu Harian'!$A$4:$D$40,3,FALSE),Pengaturan!$B$14)</f>
      </c>
      <c r="I32" s="3">
        <f>IF(B32="",0,SUMIF('Pengeluaran Operasional'!A:A,B32,'Pengeluaran Operasional'!G:G))</f>
      </c>
      <c r="J32" s="17">
        <f>IF(B32="",0,H32-I32)</f>
      </c>
      <c r="K32" s="14">
        <f>E32+H32</f>
      </c>
      <c r="L32" s="14">
        <f>F32+I32</f>
      </c>
      <c r="M32" s="17">
        <f>K32-L32</f>
      </c>
      <c r="N32" s="26">
        <f>IF(B32="","",IF(M32&gt;0,"SURPLUS",IF(M32&lt;0,"DEFISIT","AMAN")))</f>
      </c>
    </row>
    <row r="33">
      <c r="A33" s="15">
        <v>28</v>
      </c>
      <c r="B33" s="4">
        <f>IF(Pengaturan!$B$3+27&gt;Pengaturan!$B$4,"",Pengaturan!$B$3+27)</f>
      </c>
      <c r="C33" s="15">
        <f>IF(B33="","",TEXT(B33,"dddd"))</f>
      </c>
      <c r="D33" s="15">
        <f>IF(B33="","",INT((B33-Pengaturan!$B$3)/7)+1)</f>
      </c>
      <c r="E33" s="3">
        <f>IFERROR(VLOOKUP(B33,'Pagu Harian'!$A$4:$D$40,2,FALSE),Pengaturan!$B$13)</f>
      </c>
      <c r="F33" s="3">
        <f>IF(B33="",0,SUMIF('Pengeluaran Pangan'!A:A,B33,'Pengeluaran Pangan'!G:G))</f>
      </c>
      <c r="G33" s="17">
        <f>IF(B33="",0,E33-F33)</f>
      </c>
      <c r="H33" s="3">
        <f>IFERROR(VLOOKUP(B33,'Pagu Harian'!$A$4:$D$40,3,FALSE),Pengaturan!$B$14)</f>
      </c>
      <c r="I33" s="3">
        <f>IF(B33="",0,SUMIF('Pengeluaran Operasional'!A:A,B33,'Pengeluaran Operasional'!G:G))</f>
      </c>
      <c r="J33" s="17">
        <f>IF(B33="",0,H33-I33)</f>
      </c>
      <c r="K33" s="14">
        <f>E33+H33</f>
      </c>
      <c r="L33" s="14">
        <f>F33+I33</f>
      </c>
      <c r="M33" s="17">
        <f>K33-L33</f>
      </c>
      <c r="N33" s="26">
        <f>IF(B33="","",IF(M33&gt;0,"SURPLUS",IF(M33&lt;0,"DEFISIT","AMAN")))</f>
      </c>
    </row>
    <row r="34">
      <c r="A34" s="15">
        <v>29</v>
      </c>
      <c r="B34" s="4">
        <f>IF(Pengaturan!$B$3+28&gt;Pengaturan!$B$4,"",Pengaturan!$B$3+28)</f>
      </c>
      <c r="C34" s="15">
        <f>IF(B34="","",TEXT(B34,"dddd"))</f>
      </c>
      <c r="D34" s="15">
        <f>IF(B34="","",INT((B34-Pengaturan!$B$3)/7)+1)</f>
      </c>
      <c r="E34" s="3">
        <f>IFERROR(VLOOKUP(B34,'Pagu Harian'!$A$4:$D$40,2,FALSE),Pengaturan!$B$13)</f>
      </c>
      <c r="F34" s="3">
        <f>IF(B34="",0,SUMIF('Pengeluaran Pangan'!A:A,B34,'Pengeluaran Pangan'!G:G))</f>
      </c>
      <c r="G34" s="17">
        <f>IF(B34="",0,E34-F34)</f>
      </c>
      <c r="H34" s="3">
        <f>IFERROR(VLOOKUP(B34,'Pagu Harian'!$A$4:$D$40,3,FALSE),Pengaturan!$B$14)</f>
      </c>
      <c r="I34" s="3">
        <f>IF(B34="",0,SUMIF('Pengeluaran Operasional'!A:A,B34,'Pengeluaran Operasional'!G:G))</f>
      </c>
      <c r="J34" s="17">
        <f>IF(B34="",0,H34-I34)</f>
      </c>
      <c r="K34" s="14">
        <f>E34+H34</f>
      </c>
      <c r="L34" s="14">
        <f>F34+I34</f>
      </c>
      <c r="M34" s="17">
        <f>K34-L34</f>
      </c>
      <c r="N34" s="26">
        <f>IF(B34="","",IF(M34&gt;0,"SURPLUS",IF(M34&lt;0,"DEFISIT","AMAN")))</f>
      </c>
    </row>
    <row r="35">
      <c r="A35" s="15">
        <v>30</v>
      </c>
      <c r="B35" s="4">
        <f>IF(Pengaturan!$B$3+29&gt;Pengaturan!$B$4,"",Pengaturan!$B$3+29)</f>
      </c>
      <c r="C35" s="15">
        <f>IF(B35="","",TEXT(B35,"dddd"))</f>
      </c>
      <c r="D35" s="15">
        <f>IF(B35="","",INT((B35-Pengaturan!$B$3)/7)+1)</f>
      </c>
      <c r="E35" s="3">
        <f>IFERROR(VLOOKUP(B35,'Pagu Harian'!$A$4:$D$40,2,FALSE),Pengaturan!$B$13)</f>
      </c>
      <c r="F35" s="3">
        <f>IF(B35="",0,SUMIF('Pengeluaran Pangan'!A:A,B35,'Pengeluaran Pangan'!G:G))</f>
      </c>
      <c r="G35" s="17">
        <f>IF(B35="",0,E35-F35)</f>
      </c>
      <c r="H35" s="3">
        <f>IFERROR(VLOOKUP(B35,'Pagu Harian'!$A$4:$D$40,3,FALSE),Pengaturan!$B$14)</f>
      </c>
      <c r="I35" s="3">
        <f>IF(B35="",0,SUMIF('Pengeluaran Operasional'!A:A,B35,'Pengeluaran Operasional'!G:G))</f>
      </c>
      <c r="J35" s="17">
        <f>IF(B35="",0,H35-I35)</f>
      </c>
      <c r="K35" s="14">
        <f>E35+H35</f>
      </c>
      <c r="L35" s="14">
        <f>F35+I35</f>
      </c>
      <c r="M35" s="17">
        <f>K35-L35</f>
      </c>
      <c r="N35" s="26">
        <f>IF(B35="","",IF(M35&gt;0,"SURPLUS",IF(M35&lt;0,"DEFISIT","AMAN")))</f>
      </c>
    </row>
    <row r="36">
      <c r="A36" s="15">
        <v>31</v>
      </c>
      <c r="B36" s="4">
        <f>IF(Pengaturan!$B$3+30&gt;Pengaturan!$B$4,"",Pengaturan!$B$3+30)</f>
      </c>
      <c r="C36" s="15">
        <f>IF(B36="","",TEXT(B36,"dddd"))</f>
      </c>
      <c r="D36" s="15">
        <f>IF(B36="","",INT((B36-Pengaturan!$B$3)/7)+1)</f>
      </c>
      <c r="E36" s="3">
        <f>IFERROR(VLOOKUP(B36,'Pagu Harian'!$A$4:$D$40,2,FALSE),Pengaturan!$B$13)</f>
      </c>
      <c r="F36" s="3">
        <f>IF(B36="",0,SUMIF('Pengeluaran Pangan'!A:A,B36,'Pengeluaran Pangan'!G:G))</f>
      </c>
      <c r="G36" s="17">
        <f>IF(B36="",0,E36-F36)</f>
      </c>
      <c r="H36" s="3">
        <f>IFERROR(VLOOKUP(B36,'Pagu Harian'!$A$4:$D$40,3,FALSE),Pengaturan!$B$14)</f>
      </c>
      <c r="I36" s="3">
        <f>IF(B36="",0,SUMIF('Pengeluaran Operasional'!A:A,B36,'Pengeluaran Operasional'!G:G))</f>
      </c>
      <c r="J36" s="17">
        <f>IF(B36="",0,H36-I36)</f>
      </c>
      <c r="K36" s="14">
        <f>E36+H36</f>
      </c>
      <c r="L36" s="14">
        <f>F36+I36</f>
      </c>
      <c r="M36" s="17">
        <f>K36-L36</f>
      </c>
      <c r="N36" s="26">
        <f>IF(B36="","",IF(M36&gt;0,"SURPLUS",IF(M36&lt;0,"DEFISIT","AMAN")))</f>
      </c>
    </row>
    <row r="37">
</row>
    <row r="38">
      <c r="B38" s="5" t="inlineStr">
        <is>
          <t xml:space="preserve">TOTAL</t>
        </is>
      </c>
      <c r="E38" s="7">
        <f>SUM(E6:E36)</f>
      </c>
      <c r="F38" s="7">
        <f>SUM(F6:F36)</f>
      </c>
      <c r="G38" s="7">
        <f>SUM(G6:G36)</f>
      </c>
      <c r="H38" s="7">
        <f>SUM(H6:H36)</f>
      </c>
      <c r="I38" s="7">
        <f>SUM(I6:I36)</f>
      </c>
      <c r="J38" s="7">
        <f>SUM(J6:J36)</f>
      </c>
      <c r="K38" s="7">
        <f>SUM(K6:K36)</f>
      </c>
      <c r="L38" s="7">
        <f>SUM(L6:L36)</f>
      </c>
      <c r="M38" s="7">
        <f>SUM(M6:M36)</f>
      </c>
    </row>
    <row r="39">
      <c r="B39" s="5" t="inlineStr">
        <is>
          <t xml:space="preserve">RATA-RATA/HARI</t>
        </is>
      </c>
      <c r="E39" s="7">
        <f>IFERROR(AVERAGEIF(B6:B36,"&lt;&gt;",E6:E36),0)</f>
      </c>
      <c r="F39" s="7">
        <f>IFERROR(AVERAGEIF(B6:B36,"&lt;&gt;",F6:F36),0)</f>
      </c>
      <c r="G39" s="7">
        <f>IFERROR(AVERAGEIF(B6:B36,"&lt;&gt;",G6:G36),0)</f>
      </c>
      <c r="H39" s="7">
        <f>IFERROR(AVERAGEIF(B6:B36,"&lt;&gt;",H6:H36),0)</f>
      </c>
      <c r="I39" s="7">
        <f>IFERROR(AVERAGEIF(B6:B36,"&lt;&gt;",I6:I36),0)</f>
      </c>
      <c r="J39" s="7">
        <f>IFERROR(AVERAGEIF(B6:B36,"&lt;&gt;",J6:J36),0)</f>
      </c>
      <c r="K39" s="7">
        <f>IFERROR(AVERAGEIF(B6:B36,"&lt;&gt;",K6:K36),0)</f>
      </c>
      <c r="L39" s="7">
        <f>IFERROR(AVERAGEIF(B6:B36,"&lt;&gt;",L6:L36),0)</f>
      </c>
      <c r="M39" s="7">
        <f>IFERROR(AVERAGEIF(B6:B36,"&lt;&gt;",M6:M36),0)</f>
      </c>
    </row>
  </sheetData>
  <mergeCells count="1">
    <mergeCell ref="A1:N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48235"/>
  </sheetPr>
  <sheetViews>
    <sheetView workbookViewId="0">
      <pane xSplit="1" ySplit="3" topLeftCell="B4" activePane="bottomRight" state="frozen"/>
      <selection pane="bottomRight" activeCell="B4" sqref="B4"/>
    </sheetView>
  </sheetViews>
  <sheetFormatPr defaultRowHeight="17"/>
  <cols>
    <col min="1" max="1" width="10" customWidth="1"/>
    <col min="2" max="2" width="22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8" customWidth="1"/>
    <col min="12" max="12" width="14" customWidth="1"/>
  </cols>
  <sheetData>
    <row r="1" ht="32" customHeight="1">
      <c r="A1" s="2" t="inlineStr">
        <is>
          <t xml:space="preserve">REKAP MINGGUAN PENGELUARAN</t>
        </is>
      </c>
    </row>
    <row r="2" ht="20" customHeight="1">
      <c r="A2" s="31" t="inlineStr">
        <is>
          <t xml:space="preserve">Agregasi mingguan otomatis. Surplus = hemat, Defisit = boros</t>
        </is>
      </c>
    </row>
    <row r="3">
      <c r="A3" s="1" t="inlineStr">
        <is>
          <t xml:space="preserve">Minggu Ke</t>
        </is>
      </c>
      <c r="B3" s="1" t="inlineStr">
        <is>
          <t xml:space="preserve">Periode</t>
        </is>
      </c>
      <c r="C3" s="21" t="inlineStr">
        <is>
          <t xml:space="preserve">Pagu Pangan</t>
        </is>
      </c>
      <c r="D3" s="21" t="inlineStr">
        <is>
          <t xml:space="preserve">Aktual Pangan</t>
        </is>
      </c>
      <c r="E3" s="21" t="inlineStr">
        <is>
          <t xml:space="preserve">Selisih Pangan</t>
        </is>
      </c>
      <c r="F3" s="20" t="inlineStr">
        <is>
          <t xml:space="preserve">Pagu Operasional</t>
        </is>
      </c>
      <c r="G3" s="20" t="inlineStr">
        <is>
          <t xml:space="preserve">Aktual Operasional</t>
        </is>
      </c>
      <c r="H3" s="20" t="inlineStr">
        <is>
          <t xml:space="preserve">Selisih Operasional</t>
        </is>
      </c>
      <c r="I3" s="1" t="inlineStr">
        <is>
          <t xml:space="preserve">Total Pagu</t>
        </is>
      </c>
      <c r="J3" s="1" t="inlineStr">
        <is>
          <t xml:space="preserve">Total Aktual</t>
        </is>
      </c>
      <c r="K3" s="1" t="inlineStr">
        <is>
          <t xml:space="preserve">Surplus/Defisit</t>
        </is>
      </c>
      <c r="L3" s="1" t="inlineStr">
        <is>
          <t xml:space="preserve">Status</t>
        </is>
      </c>
    </row>
    <row r="4">
      <c r="A4" s="15">
        <v>1</v>
      </c>
      <c r="B4" s="15">
        <f>IF(Pengaturan!$B$3+0&gt;Pengaturan!$B$4,"",TEXT(Pengaturan!$B$3+0,"dd mmm")&amp;" - "&amp;TEXT(MIN(Pengaturan!$B$3+6,Pengaturan!$B$4),"dd mmm"))</f>
      </c>
      <c r="C4" s="3">
        <f>SUMIF('Rekap Harian'!$D$6:$D$36,A4,'Rekap Harian'!$E$6:$E$36)</f>
      </c>
      <c r="D4" s="3">
        <f>SUMIF('Rekap Harian'!$D$6:$D$36,A4,'Rekap Harian'!$F$6:$F$36)</f>
      </c>
      <c r="E4" s="17">
        <f>C4-D4</f>
      </c>
      <c r="F4" s="3">
        <f>SUMIF('Rekap Harian'!$D$6:$D$36,A4,'Rekap Harian'!$H$6:$H$36)</f>
      </c>
      <c r="G4" s="3">
        <f>SUMIF('Rekap Harian'!$D$6:$D$36,A4,'Rekap Harian'!$I$6:$I$36)</f>
      </c>
      <c r="H4" s="17">
        <f>F4-G4</f>
      </c>
      <c r="I4" s="14">
        <f>C4+F4</f>
      </c>
      <c r="J4" s="14">
        <f>D4+G4</f>
      </c>
      <c r="K4" s="17">
        <f>I4-J4</f>
      </c>
      <c r="L4" s="26">
        <f>IF(I4=0,"",IF(K4&gt;0,"SURPLUS",IF(K4&lt;0,"DEFISIT","AMAN")))</f>
      </c>
    </row>
    <row r="5">
      <c r="A5" s="15">
        <v>2</v>
      </c>
      <c r="B5" s="15">
        <f>IF(Pengaturan!$B$3+7&gt;Pengaturan!$B$4,"",TEXT(Pengaturan!$B$3+7,"dd mmm")&amp;" - "&amp;TEXT(MIN(Pengaturan!$B$3+13,Pengaturan!$B$4),"dd mmm"))</f>
      </c>
      <c r="C5" s="3">
        <f>SUMIF('Rekap Harian'!$D$6:$D$36,A5,'Rekap Harian'!$E$6:$E$36)</f>
      </c>
      <c r="D5" s="3">
        <f>SUMIF('Rekap Harian'!$D$6:$D$36,A5,'Rekap Harian'!$F$6:$F$36)</f>
      </c>
      <c r="E5" s="17">
        <f>C5-D5</f>
      </c>
      <c r="F5" s="3">
        <f>SUMIF('Rekap Harian'!$D$6:$D$36,A5,'Rekap Harian'!$H$6:$H$36)</f>
      </c>
      <c r="G5" s="3">
        <f>SUMIF('Rekap Harian'!$D$6:$D$36,A5,'Rekap Harian'!$I$6:$I$36)</f>
      </c>
      <c r="H5" s="17">
        <f>F5-G5</f>
      </c>
      <c r="I5" s="14">
        <f>C5+F5</f>
      </c>
      <c r="J5" s="14">
        <f>D5+G5</f>
      </c>
      <c r="K5" s="17">
        <f>I5-J5</f>
      </c>
      <c r="L5" s="26">
        <f>IF(I5=0,"",IF(K5&gt;0,"SURPLUS",IF(K5&lt;0,"DEFISIT","AMAN")))</f>
      </c>
    </row>
    <row r="6">
      <c r="A6" s="15">
        <v>3</v>
      </c>
      <c r="B6" s="15">
        <f>IF(Pengaturan!$B$3+14&gt;Pengaturan!$B$4,"",TEXT(Pengaturan!$B$3+14,"dd mmm")&amp;" - "&amp;TEXT(MIN(Pengaturan!$B$3+20,Pengaturan!$B$4),"dd mmm"))</f>
      </c>
      <c r="C6" s="3">
        <f>SUMIF('Rekap Harian'!$D$6:$D$36,A6,'Rekap Harian'!$E$6:$E$36)</f>
      </c>
      <c r="D6" s="3">
        <f>SUMIF('Rekap Harian'!$D$6:$D$36,A6,'Rekap Harian'!$F$6:$F$36)</f>
      </c>
      <c r="E6" s="17">
        <f>C6-D6</f>
      </c>
      <c r="F6" s="3">
        <f>SUMIF('Rekap Harian'!$D$6:$D$36,A6,'Rekap Harian'!$H$6:$H$36)</f>
      </c>
      <c r="G6" s="3">
        <f>SUMIF('Rekap Harian'!$D$6:$D$36,A6,'Rekap Harian'!$I$6:$I$36)</f>
      </c>
      <c r="H6" s="17">
        <f>F6-G6</f>
      </c>
      <c r="I6" s="14">
        <f>C6+F6</f>
      </c>
      <c r="J6" s="14">
        <f>D6+G6</f>
      </c>
      <c r="K6" s="17">
        <f>I6-J6</f>
      </c>
      <c r="L6" s="26">
        <f>IF(I6=0,"",IF(K6&gt;0,"SURPLUS",IF(K6&lt;0,"DEFISIT","AMAN")))</f>
      </c>
    </row>
    <row r="7">
      <c r="A7" s="15">
        <v>4</v>
      </c>
      <c r="B7" s="15">
        <f>IF(Pengaturan!$B$3+21&gt;Pengaturan!$B$4,"",TEXT(Pengaturan!$B$3+21,"dd mmm")&amp;" - "&amp;TEXT(MIN(Pengaturan!$B$3+27,Pengaturan!$B$4),"dd mmm"))</f>
      </c>
      <c r="C7" s="3">
        <f>SUMIF('Rekap Harian'!$D$6:$D$36,A7,'Rekap Harian'!$E$6:$E$36)</f>
      </c>
      <c r="D7" s="3">
        <f>SUMIF('Rekap Harian'!$D$6:$D$36,A7,'Rekap Harian'!$F$6:$F$36)</f>
      </c>
      <c r="E7" s="17">
        <f>C7-D7</f>
      </c>
      <c r="F7" s="3">
        <f>SUMIF('Rekap Harian'!$D$6:$D$36,A7,'Rekap Harian'!$H$6:$H$36)</f>
      </c>
      <c r="G7" s="3">
        <f>SUMIF('Rekap Harian'!$D$6:$D$36,A7,'Rekap Harian'!$I$6:$I$36)</f>
      </c>
      <c r="H7" s="17">
        <f>F7-G7</f>
      </c>
      <c r="I7" s="14">
        <f>C7+F7</f>
      </c>
      <c r="J7" s="14">
        <f>D7+G7</f>
      </c>
      <c r="K7" s="17">
        <f>I7-J7</f>
      </c>
      <c r="L7" s="26">
        <f>IF(I7=0,"",IF(K7&gt;0,"SURPLUS",IF(K7&lt;0,"DEFISIT","AMAN")))</f>
      </c>
    </row>
    <row r="8">
      <c r="A8" s="15">
        <v>5</v>
      </c>
      <c r="B8" s="15">
        <f>IF(Pengaturan!$B$3+28&gt;Pengaturan!$B$4,"",TEXT(Pengaturan!$B$3+28,"dd mmm")&amp;" - "&amp;TEXT(MIN(Pengaturan!$B$3+34,Pengaturan!$B$4),"dd mmm"))</f>
      </c>
      <c r="C8" s="3">
        <f>SUMIF('Rekap Harian'!$D$6:$D$36,A8,'Rekap Harian'!$E$6:$E$36)</f>
      </c>
      <c r="D8" s="3">
        <f>SUMIF('Rekap Harian'!$D$6:$D$36,A8,'Rekap Harian'!$F$6:$F$36)</f>
      </c>
      <c r="E8" s="17">
        <f>C8-D8</f>
      </c>
      <c r="F8" s="3">
        <f>SUMIF('Rekap Harian'!$D$6:$D$36,A8,'Rekap Harian'!$H$6:$H$36)</f>
      </c>
      <c r="G8" s="3">
        <f>SUMIF('Rekap Harian'!$D$6:$D$36,A8,'Rekap Harian'!$I$6:$I$36)</f>
      </c>
      <c r="H8" s="17">
        <f>F8-G8</f>
      </c>
      <c r="I8" s="14">
        <f>C8+F8</f>
      </c>
      <c r="J8" s="14">
        <f>D8+G8</f>
      </c>
      <c r="K8" s="17">
        <f>I8-J8</f>
      </c>
      <c r="L8" s="26">
        <f>IF(I8=0,"",IF(K8&gt;0,"SURPLUS",IF(K8&lt;0,"DEFISIT","AMAN")))</f>
      </c>
    </row>
    <row r="9">
</row>
    <row r="10">
      <c r="A10" s="5" t="inlineStr">
        <is>
          <t xml:space="preserve">TOTAL</t>
        </is>
      </c>
      <c r="C10" s="7">
        <f>SUM(C4:C8)</f>
      </c>
      <c r="D10" s="7">
        <f>SUM(D4:D8)</f>
      </c>
      <c r="E10" s="7">
        <f>SUM(E4:E8)</f>
      </c>
      <c r="F10" s="7">
        <f>SUM(F4:F8)</f>
      </c>
      <c r="G10" s="7">
        <f>SUM(G4:G8)</f>
      </c>
      <c r="H10" s="7">
        <f>SUM(H4:H8)</f>
      </c>
      <c r="I10" s="7">
        <f>SUM(I4:I8)</f>
      </c>
      <c r="J10" s="7">
        <f>SUM(J4:J8)</f>
      </c>
      <c r="K10" s="7">
        <f>SUM(K4:K8)</f>
      </c>
    </row>
  </sheetData>
  <mergeCells count="1">
    <mergeCell ref="A1:L1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0000"/>
  </sheetPr>
  <sheetViews>
    <sheetView workbookViewId="0">
      <selection activeCell="A1" sqref="A1"/>
    </sheetView>
  </sheetViews>
  <sheetFormatPr defaultRowHeight="17"/>
  <cols>
    <col min="1" max="1" width="14" customWidth="1"/>
    <col min="2" max="2" width="20" customWidth="1"/>
    <col min="3" max="3" width="20" customWidth="1"/>
    <col min="4" max="4" width="20" customWidth="1"/>
    <col min="5" max="5" width="20" customWidth="1"/>
  </cols>
  <sheetData>
    <row r="1" ht="32" customHeight="1">
      <c r="A1" s="2" t="inlineStr">
        <is>
          <t xml:space="preserve">VISUALISASI LAPORAN KEUANGAN</t>
        </is>
      </c>
    </row>
    <row r="2" ht="20" customHeight="1">
      <c r="A2" s="31" t="inlineStr">
        <is>
          <t xml:space="preserve">Grafik profesional di sebelah kanan dan bawah tabel data</t>
        </is>
      </c>
    </row>
    <row r="3">
</row>
    <row r="4">
      <c r="A4" s="13" t="inlineStr">
        <is>
          <t xml:space="preserve">1. Tren Harian - Pangan &amp; Operasional vs Pagu</t>
        </is>
      </c>
    </row>
    <row r="5">
      <c r="A5" s="1" t="inlineStr">
        <is>
          <t xml:space="preserve">Tgl</t>
        </is>
      </c>
      <c r="B5" s="1" t="inlineStr">
        <is>
          <t xml:space="preserve">Aktual Pangan</t>
        </is>
      </c>
      <c r="C5" s="1" t="inlineStr">
        <is>
          <t xml:space="preserve">Pagu Pangan</t>
        </is>
      </c>
      <c r="D5" s="1" t="inlineStr">
        <is>
          <t xml:space="preserve">Aktual Operasional</t>
        </is>
      </c>
      <c r="E5" s="1" t="inlineStr">
        <is>
          <t xml:space="preserve">Pagu Operasional</t>
        </is>
      </c>
    </row>
    <row r="6">
      <c r="A6" s="4">
        <f>'Rekap Harian'!B6</f>
      </c>
      <c r="B6" s="3">
        <f>'Rekap Harian'!F6</f>
      </c>
      <c r="C6" s="3">
        <f>'Rekap Harian'!E6</f>
      </c>
      <c r="D6" s="3">
        <f>'Rekap Harian'!I6</f>
      </c>
      <c r="E6" s="3">
        <f>'Rekap Harian'!H6</f>
      </c>
    </row>
    <row r="7">
      <c r="A7" s="4">
        <f>'Rekap Harian'!B7</f>
      </c>
      <c r="B7" s="3">
        <f>'Rekap Harian'!F7</f>
      </c>
      <c r="C7" s="3">
        <f>'Rekap Harian'!E7</f>
      </c>
      <c r="D7" s="3">
        <f>'Rekap Harian'!I7</f>
      </c>
      <c r="E7" s="3">
        <f>'Rekap Harian'!H7</f>
      </c>
    </row>
    <row r="8">
      <c r="A8" s="4">
        <f>'Rekap Harian'!B8</f>
      </c>
      <c r="B8" s="3">
        <f>'Rekap Harian'!F8</f>
      </c>
      <c r="C8" s="3">
        <f>'Rekap Harian'!E8</f>
      </c>
      <c r="D8" s="3">
        <f>'Rekap Harian'!I8</f>
      </c>
      <c r="E8" s="3">
        <f>'Rekap Harian'!H8</f>
      </c>
    </row>
    <row r="9">
      <c r="A9" s="4">
        <f>'Rekap Harian'!B9</f>
      </c>
      <c r="B9" s="3">
        <f>'Rekap Harian'!F9</f>
      </c>
      <c r="C9" s="3">
        <f>'Rekap Harian'!E9</f>
      </c>
      <c r="D9" s="3">
        <f>'Rekap Harian'!I9</f>
      </c>
      <c r="E9" s="3">
        <f>'Rekap Harian'!H9</f>
      </c>
    </row>
    <row r="10">
      <c r="A10" s="4">
        <f>'Rekap Harian'!B10</f>
      </c>
      <c r="B10" s="3">
        <f>'Rekap Harian'!F10</f>
      </c>
      <c r="C10" s="3">
        <f>'Rekap Harian'!E10</f>
      </c>
      <c r="D10" s="3">
        <f>'Rekap Harian'!I10</f>
      </c>
      <c r="E10" s="3">
        <f>'Rekap Harian'!H10</f>
      </c>
    </row>
    <row r="11">
      <c r="A11" s="4">
        <f>'Rekap Harian'!B11</f>
      </c>
      <c r="B11" s="3">
        <f>'Rekap Harian'!F11</f>
      </c>
      <c r="C11" s="3">
        <f>'Rekap Harian'!E11</f>
      </c>
      <c r="D11" s="3">
        <f>'Rekap Harian'!I11</f>
      </c>
      <c r="E11" s="3">
        <f>'Rekap Harian'!H11</f>
      </c>
    </row>
    <row r="12">
      <c r="A12" s="4">
        <f>'Rekap Harian'!B12</f>
      </c>
      <c r="B12" s="3">
        <f>'Rekap Harian'!F12</f>
      </c>
      <c r="C12" s="3">
        <f>'Rekap Harian'!E12</f>
      </c>
      <c r="D12" s="3">
        <f>'Rekap Harian'!I12</f>
      </c>
      <c r="E12" s="3">
        <f>'Rekap Harian'!H12</f>
      </c>
    </row>
    <row r="13">
      <c r="A13" s="4">
        <f>'Rekap Harian'!B13</f>
      </c>
      <c r="B13" s="3">
        <f>'Rekap Harian'!F13</f>
      </c>
      <c r="C13" s="3">
        <f>'Rekap Harian'!E13</f>
      </c>
      <c r="D13" s="3">
        <f>'Rekap Harian'!I13</f>
      </c>
      <c r="E13" s="3">
        <f>'Rekap Harian'!H13</f>
      </c>
    </row>
    <row r="14">
      <c r="A14" s="4">
        <f>'Rekap Harian'!B14</f>
      </c>
      <c r="B14" s="3">
        <f>'Rekap Harian'!F14</f>
      </c>
      <c r="C14" s="3">
        <f>'Rekap Harian'!E14</f>
      </c>
      <c r="D14" s="3">
        <f>'Rekap Harian'!I14</f>
      </c>
      <c r="E14" s="3">
        <f>'Rekap Harian'!H14</f>
      </c>
    </row>
    <row r="15">
      <c r="A15" s="4">
        <f>'Rekap Harian'!B15</f>
      </c>
      <c r="B15" s="3">
        <f>'Rekap Harian'!F15</f>
      </c>
      <c r="C15" s="3">
        <f>'Rekap Harian'!E15</f>
      </c>
      <c r="D15" s="3">
        <f>'Rekap Harian'!I15</f>
      </c>
      <c r="E15" s="3">
        <f>'Rekap Harian'!H15</f>
      </c>
    </row>
    <row r="16">
      <c r="A16" s="4">
        <f>'Rekap Harian'!B16</f>
      </c>
      <c r="B16" s="3">
        <f>'Rekap Harian'!F16</f>
      </c>
      <c r="C16" s="3">
        <f>'Rekap Harian'!E16</f>
      </c>
      <c r="D16" s="3">
        <f>'Rekap Harian'!I16</f>
      </c>
      <c r="E16" s="3">
        <f>'Rekap Harian'!H16</f>
      </c>
    </row>
    <row r="17">
      <c r="A17" s="4">
        <f>'Rekap Harian'!B17</f>
      </c>
      <c r="B17" s="3">
        <f>'Rekap Harian'!F17</f>
      </c>
      <c r="C17" s="3">
        <f>'Rekap Harian'!E17</f>
      </c>
      <c r="D17" s="3">
        <f>'Rekap Harian'!I17</f>
      </c>
      <c r="E17" s="3">
        <f>'Rekap Harian'!H17</f>
      </c>
    </row>
    <row r="18">
      <c r="A18" s="4">
        <f>'Rekap Harian'!B18</f>
      </c>
      <c r="B18" s="3">
        <f>'Rekap Harian'!F18</f>
      </c>
      <c r="C18" s="3">
        <f>'Rekap Harian'!E18</f>
      </c>
      <c r="D18" s="3">
        <f>'Rekap Harian'!I18</f>
      </c>
      <c r="E18" s="3">
        <f>'Rekap Harian'!H18</f>
      </c>
    </row>
    <row r="19">
      <c r="A19" s="4">
        <f>'Rekap Harian'!B19</f>
      </c>
      <c r="B19" s="3">
        <f>'Rekap Harian'!F19</f>
      </c>
      <c r="C19" s="3">
        <f>'Rekap Harian'!E19</f>
      </c>
      <c r="D19" s="3">
        <f>'Rekap Harian'!I19</f>
      </c>
      <c r="E19" s="3">
        <f>'Rekap Harian'!H19</f>
      </c>
    </row>
    <row r="20">
      <c r="A20" s="4">
        <f>'Rekap Harian'!B20</f>
      </c>
      <c r="B20" s="3">
        <f>'Rekap Harian'!F20</f>
      </c>
      <c r="C20" s="3">
        <f>'Rekap Harian'!E20</f>
      </c>
      <c r="D20" s="3">
        <f>'Rekap Harian'!I20</f>
      </c>
      <c r="E20" s="3">
        <f>'Rekap Harian'!H20</f>
      </c>
    </row>
    <row r="21">
      <c r="A21" s="4">
        <f>'Rekap Harian'!B21</f>
      </c>
      <c r="B21" s="3">
        <f>'Rekap Harian'!F21</f>
      </c>
      <c r="C21" s="3">
        <f>'Rekap Harian'!E21</f>
      </c>
      <c r="D21" s="3">
        <f>'Rekap Harian'!I21</f>
      </c>
      <c r="E21" s="3">
        <f>'Rekap Harian'!H21</f>
      </c>
    </row>
    <row r="22">
      <c r="A22" s="4">
        <f>'Rekap Harian'!B22</f>
      </c>
      <c r="B22" s="3">
        <f>'Rekap Harian'!F22</f>
      </c>
      <c r="C22" s="3">
        <f>'Rekap Harian'!E22</f>
      </c>
      <c r="D22" s="3">
        <f>'Rekap Harian'!I22</f>
      </c>
      <c r="E22" s="3">
        <f>'Rekap Harian'!H22</f>
      </c>
    </row>
    <row r="23">
      <c r="A23" s="4">
        <f>'Rekap Harian'!B23</f>
      </c>
      <c r="B23" s="3">
        <f>'Rekap Harian'!F23</f>
      </c>
      <c r="C23" s="3">
        <f>'Rekap Harian'!E23</f>
      </c>
      <c r="D23" s="3">
        <f>'Rekap Harian'!I23</f>
      </c>
      <c r="E23" s="3">
        <f>'Rekap Harian'!H23</f>
      </c>
    </row>
    <row r="24">
      <c r="A24" s="4">
        <f>'Rekap Harian'!B24</f>
      </c>
      <c r="B24" s="3">
        <f>'Rekap Harian'!F24</f>
      </c>
      <c r="C24" s="3">
        <f>'Rekap Harian'!E24</f>
      </c>
      <c r="D24" s="3">
        <f>'Rekap Harian'!I24</f>
      </c>
      <c r="E24" s="3">
        <f>'Rekap Harian'!H24</f>
      </c>
    </row>
    <row r="25">
      <c r="A25" s="4">
        <f>'Rekap Harian'!B25</f>
      </c>
      <c r="B25" s="3">
        <f>'Rekap Harian'!F25</f>
      </c>
      <c r="C25" s="3">
        <f>'Rekap Harian'!E25</f>
      </c>
      <c r="D25" s="3">
        <f>'Rekap Harian'!I25</f>
      </c>
      <c r="E25" s="3">
        <f>'Rekap Harian'!H25</f>
      </c>
    </row>
    <row r="26">
      <c r="A26" s="4">
        <f>'Rekap Harian'!B26</f>
      </c>
      <c r="B26" s="3">
        <f>'Rekap Harian'!F26</f>
      </c>
      <c r="C26" s="3">
        <f>'Rekap Harian'!E26</f>
      </c>
      <c r="D26" s="3">
        <f>'Rekap Harian'!I26</f>
      </c>
      <c r="E26" s="3">
        <f>'Rekap Harian'!H26</f>
      </c>
    </row>
    <row r="27">
      <c r="A27" s="4">
        <f>'Rekap Harian'!B27</f>
      </c>
      <c r="B27" s="3">
        <f>'Rekap Harian'!F27</f>
      </c>
      <c r="C27" s="3">
        <f>'Rekap Harian'!E27</f>
      </c>
      <c r="D27" s="3">
        <f>'Rekap Harian'!I27</f>
      </c>
      <c r="E27" s="3">
        <f>'Rekap Harian'!H27</f>
      </c>
    </row>
    <row r="28">
      <c r="A28" s="4">
        <f>'Rekap Harian'!B28</f>
      </c>
      <c r="B28" s="3">
        <f>'Rekap Harian'!F28</f>
      </c>
      <c r="C28" s="3">
        <f>'Rekap Harian'!E28</f>
      </c>
      <c r="D28" s="3">
        <f>'Rekap Harian'!I28</f>
      </c>
      <c r="E28" s="3">
        <f>'Rekap Harian'!H28</f>
      </c>
    </row>
    <row r="29">
      <c r="A29" s="4">
        <f>'Rekap Harian'!B29</f>
      </c>
      <c r="B29" s="3">
        <f>'Rekap Harian'!F29</f>
      </c>
      <c r="C29" s="3">
        <f>'Rekap Harian'!E29</f>
      </c>
      <c r="D29" s="3">
        <f>'Rekap Harian'!I29</f>
      </c>
      <c r="E29" s="3">
        <f>'Rekap Harian'!H29</f>
      </c>
    </row>
    <row r="30">
      <c r="A30" s="4">
        <f>'Rekap Harian'!B30</f>
      </c>
      <c r="B30" s="3">
        <f>'Rekap Harian'!F30</f>
      </c>
      <c r="C30" s="3">
        <f>'Rekap Harian'!E30</f>
      </c>
      <c r="D30" s="3">
        <f>'Rekap Harian'!I30</f>
      </c>
      <c r="E30" s="3">
        <f>'Rekap Harian'!H30</f>
      </c>
    </row>
    <row r="31">
      <c r="A31" s="4">
        <f>'Rekap Harian'!B31</f>
      </c>
      <c r="B31" s="3">
        <f>'Rekap Harian'!F31</f>
      </c>
      <c r="C31" s="3">
        <f>'Rekap Harian'!E31</f>
      </c>
      <c r="D31" s="3">
        <f>'Rekap Harian'!I31</f>
      </c>
      <c r="E31" s="3">
        <f>'Rekap Harian'!H31</f>
      </c>
    </row>
    <row r="32">
      <c r="A32" s="4">
        <f>'Rekap Harian'!B32</f>
      </c>
      <c r="B32" s="3">
        <f>'Rekap Harian'!F32</f>
      </c>
      <c r="C32" s="3">
        <f>'Rekap Harian'!E32</f>
      </c>
      <c r="D32" s="3">
        <f>'Rekap Harian'!I32</f>
      </c>
      <c r="E32" s="3">
        <f>'Rekap Harian'!H32</f>
      </c>
    </row>
    <row r="33">
      <c r="A33" s="4">
        <f>'Rekap Harian'!B33</f>
      </c>
      <c r="B33" s="3">
        <f>'Rekap Harian'!F33</f>
      </c>
      <c r="C33" s="3">
        <f>'Rekap Harian'!E33</f>
      </c>
      <c r="D33" s="3">
        <f>'Rekap Harian'!I33</f>
      </c>
      <c r="E33" s="3">
        <f>'Rekap Harian'!H33</f>
      </c>
    </row>
    <row r="34">
      <c r="A34" s="4">
        <f>'Rekap Harian'!B34</f>
      </c>
      <c r="B34" s="3">
        <f>'Rekap Harian'!F34</f>
      </c>
      <c r="C34" s="3">
        <f>'Rekap Harian'!E34</f>
      </c>
      <c r="D34" s="3">
        <f>'Rekap Harian'!I34</f>
      </c>
      <c r="E34" s="3">
        <f>'Rekap Harian'!H34</f>
      </c>
    </row>
    <row r="35">
      <c r="A35" s="4">
        <f>'Rekap Harian'!B35</f>
      </c>
      <c r="B35" s="3">
        <f>'Rekap Harian'!F35</f>
      </c>
      <c r="C35" s="3">
        <f>'Rekap Harian'!E35</f>
      </c>
      <c r="D35" s="3">
        <f>'Rekap Harian'!I35</f>
      </c>
      <c r="E35" s="3">
        <f>'Rekap Harian'!H35</f>
      </c>
    </row>
    <row r="36">
      <c r="A36" s="4">
        <f>'Rekap Harian'!B36</f>
      </c>
      <c r="B36" s="3">
        <f>'Rekap Harian'!F36</f>
      </c>
      <c r="C36" s="3">
        <f>'Rekap Harian'!E36</f>
      </c>
      <c r="D36" s="3">
        <f>'Rekap Harian'!I36</f>
      </c>
      <c r="E36" s="3">
        <f>'Rekap Harian'!H36</f>
      </c>
    </row>
    <row r="37">
</row>
    <row r="38">
      <c r="A38" s="13" t="inlineStr">
        <is>
          <t xml:space="preserve">2. Surplus vs Defisit Per Hari</t>
        </is>
      </c>
    </row>
    <row r="39">
      <c r="A39" s="1" t="inlineStr">
        <is>
          <t xml:space="preserve">Tgl</t>
        </is>
      </c>
      <c r="B39" s="1" t="inlineStr">
        <is>
          <t xml:space="preserve">Surplus (Rp)</t>
        </is>
      </c>
      <c r="C39" s="1" t="inlineStr">
        <is>
          <t xml:space="preserve">Defisit (Rp)</t>
        </is>
      </c>
    </row>
    <row r="40">
      <c r="A40" s="4">
        <f>'Rekap Harian'!B6</f>
      </c>
      <c r="B40" s="10">
        <f>IF('Rekap Harian'!M6&gt;0,'Rekap Harian'!M6,0)</f>
      </c>
      <c r="C40" s="9">
        <f>IF('Rekap Harian'!M6&lt;0,-'Rekap Harian'!M6,0)</f>
      </c>
    </row>
    <row r="41">
      <c r="A41" s="4">
        <f>'Rekap Harian'!B7</f>
      </c>
      <c r="B41" s="10">
        <f>IF('Rekap Harian'!M7&gt;0,'Rekap Harian'!M7,0)</f>
      </c>
      <c r="C41" s="9">
        <f>IF('Rekap Harian'!M7&lt;0,-'Rekap Harian'!M7,0)</f>
      </c>
    </row>
    <row r="42">
      <c r="A42" s="4">
        <f>'Rekap Harian'!B8</f>
      </c>
      <c r="B42" s="10">
        <f>IF('Rekap Harian'!M8&gt;0,'Rekap Harian'!M8,0)</f>
      </c>
      <c r="C42" s="9">
        <f>IF('Rekap Harian'!M8&lt;0,-'Rekap Harian'!M8,0)</f>
      </c>
    </row>
    <row r="43">
      <c r="A43" s="4">
        <f>'Rekap Harian'!B9</f>
      </c>
      <c r="B43" s="10">
        <f>IF('Rekap Harian'!M9&gt;0,'Rekap Harian'!M9,0)</f>
      </c>
      <c r="C43" s="9">
        <f>IF('Rekap Harian'!M9&lt;0,-'Rekap Harian'!M9,0)</f>
      </c>
    </row>
    <row r="44">
      <c r="A44" s="4">
        <f>'Rekap Harian'!B10</f>
      </c>
      <c r="B44" s="10">
        <f>IF('Rekap Harian'!M10&gt;0,'Rekap Harian'!M10,0)</f>
      </c>
      <c r="C44" s="9">
        <f>IF('Rekap Harian'!M10&lt;0,-'Rekap Harian'!M10,0)</f>
      </c>
    </row>
    <row r="45">
      <c r="A45" s="4">
        <f>'Rekap Harian'!B11</f>
      </c>
      <c r="B45" s="10">
        <f>IF('Rekap Harian'!M11&gt;0,'Rekap Harian'!M11,0)</f>
      </c>
      <c r="C45" s="9">
        <f>IF('Rekap Harian'!M11&lt;0,-'Rekap Harian'!M11,0)</f>
      </c>
    </row>
    <row r="46">
      <c r="A46" s="4">
        <f>'Rekap Harian'!B12</f>
      </c>
      <c r="B46" s="10">
        <f>IF('Rekap Harian'!M12&gt;0,'Rekap Harian'!M12,0)</f>
      </c>
      <c r="C46" s="9">
        <f>IF('Rekap Harian'!M12&lt;0,-'Rekap Harian'!M12,0)</f>
      </c>
    </row>
    <row r="47">
      <c r="A47" s="4">
        <f>'Rekap Harian'!B13</f>
      </c>
      <c r="B47" s="10">
        <f>IF('Rekap Harian'!M13&gt;0,'Rekap Harian'!M13,0)</f>
      </c>
      <c r="C47" s="9">
        <f>IF('Rekap Harian'!M13&lt;0,-'Rekap Harian'!M13,0)</f>
      </c>
    </row>
    <row r="48">
      <c r="A48" s="4">
        <f>'Rekap Harian'!B14</f>
      </c>
      <c r="B48" s="10">
        <f>IF('Rekap Harian'!M14&gt;0,'Rekap Harian'!M14,0)</f>
      </c>
      <c r="C48" s="9">
        <f>IF('Rekap Harian'!M14&lt;0,-'Rekap Harian'!M14,0)</f>
      </c>
    </row>
    <row r="49">
      <c r="A49" s="4">
        <f>'Rekap Harian'!B15</f>
      </c>
      <c r="B49" s="10">
        <f>IF('Rekap Harian'!M15&gt;0,'Rekap Harian'!M15,0)</f>
      </c>
      <c r="C49" s="9">
        <f>IF('Rekap Harian'!M15&lt;0,-'Rekap Harian'!M15,0)</f>
      </c>
    </row>
    <row r="50">
      <c r="A50" s="4">
        <f>'Rekap Harian'!B16</f>
      </c>
      <c r="B50" s="10">
        <f>IF('Rekap Harian'!M16&gt;0,'Rekap Harian'!M16,0)</f>
      </c>
      <c r="C50" s="9">
        <f>IF('Rekap Harian'!M16&lt;0,-'Rekap Harian'!M16,0)</f>
      </c>
    </row>
    <row r="51">
      <c r="A51" s="4">
        <f>'Rekap Harian'!B17</f>
      </c>
      <c r="B51" s="10">
        <f>IF('Rekap Harian'!M17&gt;0,'Rekap Harian'!M17,0)</f>
      </c>
      <c r="C51" s="9">
        <f>IF('Rekap Harian'!M17&lt;0,-'Rekap Harian'!M17,0)</f>
      </c>
    </row>
    <row r="52">
      <c r="A52" s="4">
        <f>'Rekap Harian'!B18</f>
      </c>
      <c r="B52" s="10">
        <f>IF('Rekap Harian'!M18&gt;0,'Rekap Harian'!M18,0)</f>
      </c>
      <c r="C52" s="9">
        <f>IF('Rekap Harian'!M18&lt;0,-'Rekap Harian'!M18,0)</f>
      </c>
    </row>
    <row r="53">
      <c r="A53" s="4">
        <f>'Rekap Harian'!B19</f>
      </c>
      <c r="B53" s="10">
        <f>IF('Rekap Harian'!M19&gt;0,'Rekap Harian'!M19,0)</f>
      </c>
      <c r="C53" s="9">
        <f>IF('Rekap Harian'!M19&lt;0,-'Rekap Harian'!M19,0)</f>
      </c>
    </row>
    <row r="54">
      <c r="A54" s="4">
        <f>'Rekap Harian'!B20</f>
      </c>
      <c r="B54" s="10">
        <f>IF('Rekap Harian'!M20&gt;0,'Rekap Harian'!M20,0)</f>
      </c>
      <c r="C54" s="9">
        <f>IF('Rekap Harian'!M20&lt;0,-'Rekap Harian'!M20,0)</f>
      </c>
    </row>
    <row r="55">
      <c r="A55" s="4">
        <f>'Rekap Harian'!B21</f>
      </c>
      <c r="B55" s="10">
        <f>IF('Rekap Harian'!M21&gt;0,'Rekap Harian'!M21,0)</f>
      </c>
      <c r="C55" s="9">
        <f>IF('Rekap Harian'!M21&lt;0,-'Rekap Harian'!M21,0)</f>
      </c>
    </row>
    <row r="56">
      <c r="A56" s="4">
        <f>'Rekap Harian'!B22</f>
      </c>
      <c r="B56" s="10">
        <f>IF('Rekap Harian'!M22&gt;0,'Rekap Harian'!M22,0)</f>
      </c>
      <c r="C56" s="9">
        <f>IF('Rekap Harian'!M22&lt;0,-'Rekap Harian'!M22,0)</f>
      </c>
    </row>
    <row r="57">
      <c r="A57" s="4">
        <f>'Rekap Harian'!B23</f>
      </c>
      <c r="B57" s="10">
        <f>IF('Rekap Harian'!M23&gt;0,'Rekap Harian'!M23,0)</f>
      </c>
      <c r="C57" s="9">
        <f>IF('Rekap Harian'!M23&lt;0,-'Rekap Harian'!M23,0)</f>
      </c>
    </row>
    <row r="58">
      <c r="A58" s="4">
        <f>'Rekap Harian'!B24</f>
      </c>
      <c r="B58" s="10">
        <f>IF('Rekap Harian'!M24&gt;0,'Rekap Harian'!M24,0)</f>
      </c>
      <c r="C58" s="9">
        <f>IF('Rekap Harian'!M24&lt;0,-'Rekap Harian'!M24,0)</f>
      </c>
    </row>
    <row r="59">
      <c r="A59" s="4">
        <f>'Rekap Harian'!B25</f>
      </c>
      <c r="B59" s="10">
        <f>IF('Rekap Harian'!M25&gt;0,'Rekap Harian'!M25,0)</f>
      </c>
      <c r="C59" s="9">
        <f>IF('Rekap Harian'!M25&lt;0,-'Rekap Harian'!M25,0)</f>
      </c>
    </row>
    <row r="60">
      <c r="A60" s="4">
        <f>'Rekap Harian'!B26</f>
      </c>
      <c r="B60" s="10">
        <f>IF('Rekap Harian'!M26&gt;0,'Rekap Harian'!M26,0)</f>
      </c>
      <c r="C60" s="9">
        <f>IF('Rekap Harian'!M26&lt;0,-'Rekap Harian'!M26,0)</f>
      </c>
    </row>
    <row r="61">
      <c r="A61" s="4">
        <f>'Rekap Harian'!B27</f>
      </c>
      <c r="B61" s="10">
        <f>IF('Rekap Harian'!M27&gt;0,'Rekap Harian'!M27,0)</f>
      </c>
      <c r="C61" s="9">
        <f>IF('Rekap Harian'!M27&lt;0,-'Rekap Harian'!M27,0)</f>
      </c>
    </row>
    <row r="62">
      <c r="A62" s="4">
        <f>'Rekap Harian'!B28</f>
      </c>
      <c r="B62" s="10">
        <f>IF('Rekap Harian'!M28&gt;0,'Rekap Harian'!M28,0)</f>
      </c>
      <c r="C62" s="9">
        <f>IF('Rekap Harian'!M28&lt;0,-'Rekap Harian'!M28,0)</f>
      </c>
    </row>
    <row r="63">
      <c r="A63" s="4">
        <f>'Rekap Harian'!B29</f>
      </c>
      <c r="B63" s="10">
        <f>IF('Rekap Harian'!M29&gt;0,'Rekap Harian'!M29,0)</f>
      </c>
      <c r="C63" s="9">
        <f>IF('Rekap Harian'!M29&lt;0,-'Rekap Harian'!M29,0)</f>
      </c>
    </row>
    <row r="64">
      <c r="A64" s="4">
        <f>'Rekap Harian'!B30</f>
      </c>
      <c r="B64" s="10">
        <f>IF('Rekap Harian'!M30&gt;0,'Rekap Harian'!M30,0)</f>
      </c>
      <c r="C64" s="9">
        <f>IF('Rekap Harian'!M30&lt;0,-'Rekap Harian'!M30,0)</f>
      </c>
    </row>
    <row r="65">
      <c r="A65" s="4">
        <f>'Rekap Harian'!B31</f>
      </c>
      <c r="B65" s="10">
        <f>IF('Rekap Harian'!M31&gt;0,'Rekap Harian'!M31,0)</f>
      </c>
      <c r="C65" s="9">
        <f>IF('Rekap Harian'!M31&lt;0,-'Rekap Harian'!M31,0)</f>
      </c>
    </row>
    <row r="66">
      <c r="A66" s="4">
        <f>'Rekap Harian'!B32</f>
      </c>
      <c r="B66" s="10">
        <f>IF('Rekap Harian'!M32&gt;0,'Rekap Harian'!M32,0)</f>
      </c>
      <c r="C66" s="9">
        <f>IF('Rekap Harian'!M32&lt;0,-'Rekap Harian'!M32,0)</f>
      </c>
    </row>
    <row r="67">
      <c r="A67" s="4">
        <f>'Rekap Harian'!B33</f>
      </c>
      <c r="B67" s="10">
        <f>IF('Rekap Harian'!M33&gt;0,'Rekap Harian'!M33,0)</f>
      </c>
      <c r="C67" s="9">
        <f>IF('Rekap Harian'!M33&lt;0,-'Rekap Harian'!M33,0)</f>
      </c>
    </row>
    <row r="68">
      <c r="A68" s="4">
        <f>'Rekap Harian'!B34</f>
      </c>
      <c r="B68" s="10">
        <f>IF('Rekap Harian'!M34&gt;0,'Rekap Harian'!M34,0)</f>
      </c>
      <c r="C68" s="9">
        <f>IF('Rekap Harian'!M34&lt;0,-'Rekap Harian'!M34,0)</f>
      </c>
    </row>
    <row r="69">
      <c r="A69" s="4">
        <f>'Rekap Harian'!B35</f>
      </c>
      <c r="B69" s="10">
        <f>IF('Rekap Harian'!M35&gt;0,'Rekap Harian'!M35,0)</f>
      </c>
      <c r="C69" s="9">
        <f>IF('Rekap Harian'!M35&lt;0,-'Rekap Harian'!M35,0)</f>
      </c>
    </row>
    <row r="70">
      <c r="A70" s="4">
        <f>'Rekap Harian'!B36</f>
      </c>
      <c r="B70" s="10">
        <f>IF('Rekap Harian'!M36&gt;0,'Rekap Harian'!M36,0)</f>
      </c>
      <c r="C70" s="9">
        <f>IF('Rekap Harian'!M36&lt;0,-'Rekap Harian'!M36,0)</f>
      </c>
    </row>
    <row r="71">
</row>
    <row r="72">
      <c r="A72" s="13" t="inlineStr">
        <is>
          <t xml:space="preserve">3. Rekap Mingguan - Aktual vs Pagu</t>
        </is>
      </c>
    </row>
    <row r="73">
      <c r="A73" s="1" t="inlineStr">
        <is>
          <t xml:space="preserve">Minggu</t>
        </is>
      </c>
      <c r="B73" s="1" t="inlineStr">
        <is>
          <t xml:space="preserve">Aktual Pangan</t>
        </is>
      </c>
      <c r="C73" s="1" t="inlineStr">
        <is>
          <t xml:space="preserve">Pagu Pangan</t>
        </is>
      </c>
      <c r="D73" s="1" t="inlineStr">
        <is>
          <t xml:space="preserve">Aktual Operasional</t>
        </is>
      </c>
      <c r="E73" s="1" t="inlineStr">
        <is>
          <t xml:space="preserve">Pagu Operasional</t>
        </is>
      </c>
    </row>
    <row r="74">
      <c r="A74" s="15">
        <f>"Mg "&amp;A4</f>
      </c>
      <c r="B74" s="3">
        <f>'Rekap Mingguan'!D4</f>
      </c>
      <c r="C74" s="3">
        <f>'Rekap Mingguan'!C4</f>
      </c>
      <c r="D74" s="3">
        <f>'Rekap Mingguan'!G4</f>
      </c>
      <c r="E74" s="3">
        <f>'Rekap Mingguan'!F4</f>
      </c>
    </row>
    <row r="75">
      <c r="A75" s="15">
        <f>"Mg "&amp;A5</f>
      </c>
      <c r="B75" s="3">
        <f>'Rekap Mingguan'!D5</f>
      </c>
      <c r="C75" s="3">
        <f>'Rekap Mingguan'!C5</f>
      </c>
      <c r="D75" s="3">
        <f>'Rekap Mingguan'!G5</f>
      </c>
      <c r="E75" s="3">
        <f>'Rekap Mingguan'!F5</f>
      </c>
    </row>
    <row r="76">
      <c r="A76" s="15">
        <f>"Mg "&amp;A6</f>
      </c>
      <c r="B76" s="3">
        <f>'Rekap Mingguan'!D6</f>
      </c>
      <c r="C76" s="3">
        <f>'Rekap Mingguan'!C6</f>
      </c>
      <c r="D76" s="3">
        <f>'Rekap Mingguan'!G6</f>
      </c>
      <c r="E76" s="3">
        <f>'Rekap Mingguan'!F6</f>
      </c>
    </row>
    <row r="77">
      <c r="A77" s="15">
        <f>"Mg "&amp;A7</f>
      </c>
      <c r="B77" s="3">
        <f>'Rekap Mingguan'!D7</f>
      </c>
      <c r="C77" s="3">
        <f>'Rekap Mingguan'!C7</f>
      </c>
      <c r="D77" s="3">
        <f>'Rekap Mingguan'!G7</f>
      </c>
      <c r="E77" s="3">
        <f>'Rekap Mingguan'!F7</f>
      </c>
    </row>
    <row r="78">
      <c r="A78" s="15">
        <f>"Mg "&amp;A8</f>
      </c>
      <c r="B78" s="3">
        <f>'Rekap Mingguan'!D8</f>
      </c>
      <c r="C78" s="3">
        <f>'Rekap Mingguan'!C8</f>
      </c>
      <c r="D78" s="3">
        <f>'Rekap Mingguan'!G8</f>
      </c>
      <c r="E78" s="3">
        <f>'Rekap Mingguan'!F8</f>
      </c>
    </row>
    <row r="79">
</row>
    <row r="80">
      <c r="A80" s="13" t="inlineStr">
        <is>
          <t xml:space="preserve">4. Komposisi Pengeluaran</t>
        </is>
      </c>
    </row>
    <row r="81">
      <c r="A81" s="1" t="inlineStr">
        <is>
          <t xml:space="preserve">Kategori</t>
        </is>
      </c>
      <c r="B81" s="1" t="inlineStr">
        <is>
          <t xml:space="preserve">Jumlah (Rp)</t>
        </is>
      </c>
      <c r="C81" s="1" t="inlineStr">
        <is>
          <t xml:space="preserve">Persentase</t>
        </is>
      </c>
    </row>
    <row r="82">
      <c r="A82" s="0" t="inlineStr">
        <is>
          <t xml:space="preserve">Bahan Pangan</t>
        </is>
      </c>
      <c r="B82" s="3">
        <f>'Pengeluaran Pangan'!G125</f>
      </c>
      <c r="C82" s="6">
        <f>IF(('Pengeluaran Pangan'!G125+'Pengeluaran Operasional'!G123)=0,0,B82/('Pengeluaran Pangan'!G125+'Pengeluaran Operasional'!G123))</f>
      </c>
    </row>
    <row r="83">
      <c r="A83" s="0" t="inlineStr">
        <is>
          <t xml:space="preserve">Operasional</t>
        </is>
      </c>
      <c r="B83" s="3">
        <f>'Pengeluaran Operasional'!G123</f>
      </c>
      <c r="C83" s="6">
        <f>IF(('Pengeluaran Pangan'!G125+'Pengeluaran Operasional'!G123)=0,0,B83/('Pengeluaran Pangan'!G125+'Pengeluaran Operasional'!G123))</f>
      </c>
    </row>
    <row r="84">
</row>
    <row r="85">
      <c r="A85" s="13" t="inlineStr">
        <is>
          <t xml:space="preserve">5. Anggaran vs Realisasi vs Sisa</t>
        </is>
      </c>
    </row>
    <row r="86">
      <c r="A86" s="1" t="inlineStr">
        <is>
          <t xml:space="preserve">Kategori</t>
        </is>
      </c>
      <c r="B86" s="1" t="inlineStr">
        <is>
          <t xml:space="preserve">Dana Total</t>
        </is>
      </c>
      <c r="C86" s="1" t="inlineStr">
        <is>
          <t xml:space="preserve">Terpakai</t>
        </is>
      </c>
      <c r="D86" s="1" t="inlineStr">
        <is>
          <t xml:space="preserve">Sisa</t>
        </is>
      </c>
    </row>
    <row r="87">
      <c r="A87" s="0" t="inlineStr">
        <is>
          <t xml:space="preserve">Bahan Pangan</t>
        </is>
      </c>
      <c r="B87" s="3">
        <f>Pengaturan!B8</f>
      </c>
      <c r="C87" s="3">
        <f>'Pengeluaran Pangan'!G125</f>
      </c>
      <c r="D87" s="3">
        <f>B87-C87</f>
      </c>
    </row>
    <row r="88">
      <c r="A88" s="0" t="inlineStr">
        <is>
          <t xml:space="preserve">Operasional</t>
        </is>
      </c>
      <c r="B88" s="3">
        <f>Pengaturan!B9</f>
      </c>
      <c r="C88" s="3">
        <f>'Pengeluaran Operasional'!G123</f>
      </c>
      <c r="D88" s="3">
        <f>B88-C88</f>
      </c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30A0"/>
  </sheetPr>
  <sheetViews>
    <sheetView workbookViewId="0">
      <selection activeCell="A1" sqref="A1"/>
    </sheetView>
  </sheetViews>
  <sheetFormatPr defaultRowHeight="17"/>
  <cols>
    <col min="1" max="1" width="38" customWidth="1"/>
    <col min="2" max="2" width="22" customWidth="1"/>
    <col min="3" max="3" width="30" customWidth="1"/>
  </cols>
  <sheetData>
    <row r="1" ht="32" customHeight="1">
      <c r="A1" s="2" t="inlineStr">
        <is>
          <t xml:space="preserve">PENGATURAN LAPORAN KEUANGAN</t>
        </is>
      </c>
    </row>
    <row r="2" ht="20" customHeight="1">
      <c r="A2" s="31" t="inlineStr">
        <is>
          <t xml:space="preserve">Master konfigurasi - edit bagian ini untuk menyesuaikan laporan</t>
        </is>
      </c>
    </row>
    <row r="3">
      <c r="A3" s="12" t="inlineStr">
        <is>
          <t xml:space="preserve">Periode Mulai</t>
        </is>
      </c>
      <c r="B3" s="4">
        <v>46143</v>
      </c>
      <c r="C3" s="19" t="inlineStr">
        <is>
          <t xml:space="preserve">&lt;- edit tanggal</t>
        </is>
      </c>
    </row>
    <row r="4">
      <c r="A4" s="12" t="inlineStr">
        <is>
          <t xml:space="preserve">Periode Selesai</t>
        </is>
      </c>
      <c r="B4" s="4">
        <v>46173</v>
      </c>
      <c r="C4" s="19" t="inlineStr">
        <is>
          <t xml:space="preserve">&lt;- edit tanggal</t>
        </is>
      </c>
    </row>
    <row r="5">
      <c r="A5" s="12" t="inlineStr">
        <is>
          <t xml:space="preserve">Jumlah Hari Operasi</t>
        </is>
      </c>
      <c r="B5" s="11">
        <f>B4-B3+1</f>
      </c>
      <c r="C5" s="19" t="inlineStr">
        <is>
          <t xml:space="preserve">(otomatis)</t>
        </is>
      </c>
    </row>
    <row r="6">
</row>
    <row r="7">
      <c r="A7" s="32" t="inlineStr">
        <is>
          <t xml:space="preserve">DANA ANGGARAN</t>
        </is>
      </c>
    </row>
    <row r="8">
      <c r="A8" s="12" t="inlineStr">
        <is>
          <t xml:space="preserve">Dana Total Bahan Pangan</t>
        </is>
      </c>
      <c r="B8" s="3">
        <v>60000000</v>
      </c>
      <c r="C8" s="19" t="inlineStr">
        <is>
          <t xml:space="preserve">&lt;- edit total dana</t>
        </is>
      </c>
    </row>
    <row r="9">
      <c r="A9" s="12" t="inlineStr">
        <is>
          <t xml:space="preserve">Dana Total Operasional</t>
        </is>
      </c>
      <c r="B9" s="3">
        <v>25000000</v>
      </c>
      <c r="C9" s="19" t="inlineStr">
        <is>
          <t xml:space="preserve">&lt;- edit total dana</t>
        </is>
      </c>
    </row>
    <row r="10">
      <c r="A10" s="12" t="inlineStr">
        <is>
          <t xml:space="preserve">Total Dana Keseluruhan</t>
        </is>
      </c>
      <c r="B10" s="7">
        <f>B8+B9</f>
      </c>
    </row>
    <row r="11">
</row>
    <row r="12">
      <c r="A12" s="32" t="inlineStr">
        <is>
          <t xml:space="preserve">PAGU DEFAULT / HARI (SEHARUSNYA)</t>
        </is>
      </c>
    </row>
    <row r="13">
      <c r="A13" s="12" t="inlineStr">
        <is>
          <t xml:space="preserve">Pagu Default Pangan/Hari</t>
        </is>
      </c>
      <c r="B13" s="14">
        <f>IF(B5=0,0,B8/B5)</f>
      </c>
      <c r="C13" s="19" t="inlineStr">
        <is>
          <t xml:space="preserve">= Dana Pangan / Jumlah Hari</t>
        </is>
      </c>
    </row>
    <row r="14">
      <c r="A14" s="12" t="inlineStr">
        <is>
          <t xml:space="preserve">Pagu Default Operasional/Hari</t>
        </is>
      </c>
      <c r="B14" s="14">
        <f>IF(B5=0,0,B9/B5)</f>
      </c>
      <c r="C14" s="19" t="inlineStr">
        <is>
          <t xml:space="preserve">= Dana Operasional / Jumlah Hari</t>
        </is>
      </c>
    </row>
    <row r="15">
      <c r="A15" s="12" t="inlineStr">
        <is>
          <t xml:space="preserve">Pagu Default Total/Hari</t>
        </is>
      </c>
      <c r="B15" s="14">
        <f>B13+B14</f>
      </c>
      <c r="C15" s="19" t="inlineStr">
        <is>
          <t xml:space="preserve">= Pangan + Operasional</t>
        </is>
      </c>
    </row>
    <row r="16">
</row>
    <row r="17">
      <c r="A17" s="32" t="inlineStr">
        <is>
          <t xml:space="preserve">INFORMASI ORGANISASI</t>
        </is>
      </c>
    </row>
    <row r="18">
      <c r="A18" s="12" t="inlineStr">
        <is>
          <t xml:space="preserve">Nama Instansi</t>
        </is>
      </c>
      <c r="B18" s="0" t="inlineStr">
        <is>
          <t xml:space="preserve">SPPG Battuwinangun</t>
        </is>
      </c>
    </row>
    <row r="19">
      <c r="A19" s="12" t="inlineStr">
        <is>
          <t xml:space="preserve">Alamat</t>
        </is>
      </c>
      <c r="B19" s="0" t="inlineStr">
        <is>
          <t xml:space="preserve">-</t>
        </is>
      </c>
    </row>
    <row r="20">
      <c r="A20" s="12" t="inlineStr">
        <is>
          <t xml:space="preserve">Penanggung Jawab</t>
        </is>
      </c>
      <c r="B20" s="0" t="inlineStr">
        <is>
          <t xml:space="preserve">-</t>
        </is>
      </c>
    </row>
    <row r="21">
      <c r="A21" s="12" t="inlineStr">
        <is>
          <t xml:space="preserve">Periode Laporan</t>
        </is>
      </c>
      <c r="B21" s="15">
        <f>TEXT(B3,"dd mmm yyyy")&amp;" s/d "&amp;TEXT(B4,"dd mmm yyyy")</f>
      </c>
    </row>
    <row r="22">
</row>
    <row r="23">
      <c r="A23" s="12" t="inlineStr">
        <is>
          <t xml:space="preserve">CATATAN:</t>
        </is>
      </c>
    </row>
    <row r="24">
      <c r="A24" s="19" t="inlineStr">
        <is>
          <t xml:space="preserve">- Edit hanya di kolom B pada baris yang bertanda &lt;- edit</t>
        </is>
      </c>
    </row>
    <row r="25">
      <c r="A25" s="19" t="inlineStr">
        <is>
          <t xml:space="preserve">- Pagu per hari bisa berbeda-beda, diatur di sheet 'Pagu Harian'</t>
        </is>
      </c>
    </row>
    <row r="26">
      <c r="A26" s="19" t="inlineStr">
        <is>
          <t xml:space="preserve">- Jika Pagu Harian kosong untuk tanggal tertentu, dipakai pagu default</t>
        </is>
      </c>
    </row>
    <row r="27">
      <c r="A27" s="19" t="inlineStr">
        <is>
          <t xml:space="preserve">- Dashboard, Rekap Harian, &amp; Grafik update otomatis</t>
        </is>
      </c>
    </row>
  </sheetData>
  <mergeCells count="1">
    <mergeCell ref="A1:C1"/>
  </mergeCell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F8F00"/>
  </sheetPr>
  <sheetViews>
    <sheetView workbookViewId="0">
      <pane xSplit="1" ySplit="3" topLeftCell="B4" activePane="bottomRight" state="frozen"/>
      <selection pane="bottomRight" activeCell="B4" sqref="B4"/>
    </sheetView>
  </sheetViews>
  <sheetFormatPr defaultRowHeight="17"/>
  <cols>
    <col min="1" max="1" width="14" customWidth="1"/>
    <col min="2" max="2" width="22" customWidth="1"/>
    <col min="3" max="3" width="22" customWidth="1"/>
    <col min="4" max="4" width="22" customWidth="1"/>
    <col min="5" max="5" width="28" customWidth="1"/>
  </cols>
  <sheetData>
    <row r="1" ht="32" customHeight="1">
      <c r="A1" s="2" t="inlineStr">
        <is>
          <t xml:space="preserve">PAGU HARIAN PENGELUARAN</t>
        </is>
      </c>
    </row>
    <row r="2" ht="20" customHeight="1">
      <c r="A2" s="31" t="inlineStr">
        <is>
          <t xml:space="preserve">Set pagu per tanggal. Biarkan kosong -&gt; pakai pagu default dari sheet Pengaturan</t>
        </is>
      </c>
    </row>
    <row r="3">
      <c r="A3" s="1" t="inlineStr">
        <is>
          <t xml:space="preserve">Tanggal</t>
        </is>
      </c>
      <c r="B3" s="1" t="inlineStr">
        <is>
          <t xml:space="preserve">Pagu Pangan (Rp)</t>
        </is>
      </c>
      <c r="C3" s="1" t="inlineStr">
        <is>
          <t xml:space="preserve">Pagu Operasional (Rp)</t>
        </is>
      </c>
      <c r="D3" s="1" t="inlineStr">
        <is>
          <t xml:space="preserve">Pagu Total (Rp)</t>
        </is>
      </c>
      <c r="E3" s="1" t="inlineStr">
        <is>
          <t xml:space="preserve">Keterangan</t>
        </is>
      </c>
    </row>
    <row r="4">
      <c r="A4" s="4">
        <f>IF(Pengaturan!$B$3+0&gt;Pengaturan!$B$4,"",Pengaturan!$B$3+0)</f>
      </c>
      <c r="B4" s="3">
        <f>IF(A4="","",Pengaturan!$B$13)</f>
      </c>
      <c r="C4" s="3">
        <f>IF(A4="","",Pengaturan!$B$14)</f>
      </c>
      <c r="D4" s="14">
        <f>IF(A4="","",B4+C4)</f>
      </c>
    </row>
    <row r="5">
      <c r="A5" s="4">
        <f>IF(Pengaturan!$B$3+1&gt;Pengaturan!$B$4,"",Pengaturan!$B$3+1)</f>
      </c>
      <c r="B5" s="3">
        <f>IF(A5="","",Pengaturan!$B$13)</f>
      </c>
      <c r="C5" s="3">
        <f>IF(A5="","",Pengaturan!$B$14)</f>
      </c>
      <c r="D5" s="14">
        <f>IF(A5="","",B5+C5)</f>
      </c>
    </row>
    <row r="6">
      <c r="A6" s="4">
        <f>IF(Pengaturan!$B$3+2&gt;Pengaturan!$B$4,"",Pengaturan!$B$3+2)</f>
      </c>
      <c r="B6" s="3">
        <f>IF(A6="","",Pengaturan!$B$13)</f>
      </c>
      <c r="C6" s="3">
        <f>IF(A6="","",Pengaturan!$B$14)</f>
      </c>
      <c r="D6" s="14">
        <f>IF(A6="","",B6+C6)</f>
      </c>
    </row>
    <row r="7">
      <c r="A7" s="4">
        <f>IF(Pengaturan!$B$3+3&gt;Pengaturan!$B$4,"",Pengaturan!$B$3+3)</f>
      </c>
      <c r="B7" s="3">
        <f>IF(A7="","",Pengaturan!$B$13)</f>
      </c>
      <c r="C7" s="3">
        <f>IF(A7="","",Pengaturan!$B$14)</f>
      </c>
      <c r="D7" s="14">
        <f>IF(A7="","",B7+C7)</f>
      </c>
    </row>
    <row r="8">
      <c r="A8" s="4">
        <f>IF(Pengaturan!$B$3+4&gt;Pengaturan!$B$4,"",Pengaturan!$B$3+4)</f>
      </c>
      <c r="B8" s="3">
        <f>IF(A8="","",Pengaturan!$B$13)</f>
      </c>
      <c r="C8" s="3">
        <f>IF(A8="","",Pengaturan!$B$14)</f>
      </c>
      <c r="D8" s="14">
        <f>IF(A8="","",B8+C8)</f>
      </c>
    </row>
    <row r="9">
      <c r="A9" s="4">
        <f>IF(Pengaturan!$B$3+5&gt;Pengaturan!$B$4,"",Pengaturan!$B$3+5)</f>
      </c>
      <c r="B9" s="3">
        <f>IF(A9="","",Pengaturan!$B$13)</f>
      </c>
      <c r="C9" s="3">
        <f>IF(A9="","",Pengaturan!$B$14)</f>
      </c>
      <c r="D9" s="14">
        <f>IF(A9="","",B9+C9)</f>
      </c>
    </row>
    <row r="10">
      <c r="A10" s="4">
        <f>IF(Pengaturan!$B$3+6&gt;Pengaturan!$B$4,"",Pengaturan!$B$3+6)</f>
      </c>
      <c r="B10" s="3">
        <f>IF(A10="","",Pengaturan!$B$13)</f>
      </c>
      <c r="C10" s="3">
        <f>IF(A10="","",Pengaturan!$B$14)</f>
      </c>
      <c r="D10" s="14">
        <f>IF(A10="","",B10+C10)</f>
      </c>
    </row>
    <row r="11">
      <c r="A11" s="4">
        <f>IF(Pengaturan!$B$3+7&gt;Pengaturan!$B$4,"",Pengaturan!$B$3+7)</f>
      </c>
      <c r="B11" s="3">
        <f>IF(A11="","",Pengaturan!$B$13)</f>
      </c>
      <c r="C11" s="3">
        <f>IF(A11="","",Pengaturan!$B$14)</f>
      </c>
      <c r="D11" s="14">
        <f>IF(A11="","",B11+C11)</f>
      </c>
    </row>
    <row r="12">
      <c r="A12" s="4">
        <f>IF(Pengaturan!$B$3+8&gt;Pengaturan!$B$4,"",Pengaturan!$B$3+8)</f>
      </c>
      <c r="B12" s="3">
        <f>IF(A12="","",Pengaturan!$B$13)</f>
      </c>
      <c r="C12" s="3">
        <f>IF(A12="","",Pengaturan!$B$14)</f>
      </c>
      <c r="D12" s="14">
        <f>IF(A12="","",B12+C12)</f>
      </c>
    </row>
    <row r="13">
      <c r="A13" s="4">
        <f>IF(Pengaturan!$B$3+9&gt;Pengaturan!$B$4,"",Pengaturan!$B$3+9)</f>
      </c>
      <c r="B13" s="3">
        <f>IF(A13="","",Pengaturan!$B$13)</f>
      </c>
      <c r="C13" s="3">
        <f>IF(A13="","",Pengaturan!$B$14)</f>
      </c>
      <c r="D13" s="14">
        <f>IF(A13="","",B13+C13)</f>
      </c>
    </row>
    <row r="14">
      <c r="A14" s="4">
        <f>IF(Pengaturan!$B$3+10&gt;Pengaturan!$B$4,"",Pengaturan!$B$3+10)</f>
      </c>
      <c r="B14" s="3">
        <f>IF(A14="","",Pengaturan!$B$13)</f>
      </c>
      <c r="C14" s="3">
        <f>IF(A14="","",Pengaturan!$B$14)</f>
      </c>
      <c r="D14" s="14">
        <f>IF(A14="","",B14+C14)</f>
      </c>
    </row>
    <row r="15">
      <c r="A15" s="4">
        <f>IF(Pengaturan!$B$3+11&gt;Pengaturan!$B$4,"",Pengaturan!$B$3+11)</f>
      </c>
      <c r="B15" s="3">
        <f>IF(A15="","",Pengaturan!$B$13)</f>
      </c>
      <c r="C15" s="3">
        <f>IF(A15="","",Pengaturan!$B$14)</f>
      </c>
      <c r="D15" s="14">
        <f>IF(A15="","",B15+C15)</f>
      </c>
    </row>
    <row r="16">
      <c r="A16" s="4">
        <f>IF(Pengaturan!$B$3+12&gt;Pengaturan!$B$4,"",Pengaturan!$B$3+12)</f>
      </c>
      <c r="B16" s="3">
        <f>IF(A16="","",Pengaturan!$B$13)</f>
      </c>
      <c r="C16" s="3">
        <f>IF(A16="","",Pengaturan!$B$14)</f>
      </c>
      <c r="D16" s="14">
        <f>IF(A16="","",B16+C16)</f>
      </c>
    </row>
    <row r="17">
      <c r="A17" s="4">
        <f>IF(Pengaturan!$B$3+13&gt;Pengaturan!$B$4,"",Pengaturan!$B$3+13)</f>
      </c>
      <c r="B17" s="3">
        <f>IF(A17="","",Pengaturan!$B$13)</f>
      </c>
      <c r="C17" s="3">
        <f>IF(A17="","",Pengaturan!$B$14)</f>
      </c>
      <c r="D17" s="14">
        <f>IF(A17="","",B17+C17)</f>
      </c>
    </row>
    <row r="18">
      <c r="A18" s="4">
        <f>IF(Pengaturan!$B$3+14&gt;Pengaturan!$B$4,"",Pengaturan!$B$3+14)</f>
      </c>
      <c r="B18" s="3">
        <f>IF(A18="","",Pengaturan!$B$13)</f>
      </c>
      <c r="C18" s="3">
        <f>IF(A18="","",Pengaturan!$B$14)</f>
      </c>
      <c r="D18" s="14">
        <f>IF(A18="","",B18+C18)</f>
      </c>
    </row>
    <row r="19">
      <c r="A19" s="4">
        <f>IF(Pengaturan!$B$3+15&gt;Pengaturan!$B$4,"",Pengaturan!$B$3+15)</f>
      </c>
      <c r="B19" s="3">
        <f>IF(A19="","",Pengaturan!$B$13)</f>
      </c>
      <c r="C19" s="3">
        <f>IF(A19="","",Pengaturan!$B$14)</f>
      </c>
      <c r="D19" s="14">
        <f>IF(A19="","",B19+C19)</f>
      </c>
    </row>
    <row r="20">
      <c r="A20" s="4">
        <f>IF(Pengaturan!$B$3+16&gt;Pengaturan!$B$4,"",Pengaturan!$B$3+16)</f>
      </c>
      <c r="B20" s="3">
        <f>IF(A20="","",Pengaturan!$B$13)</f>
      </c>
      <c r="C20" s="3">
        <f>IF(A20="","",Pengaturan!$B$14)</f>
      </c>
      <c r="D20" s="14">
        <f>IF(A20="","",B20+C20)</f>
      </c>
    </row>
    <row r="21">
      <c r="A21" s="4">
        <f>IF(Pengaturan!$B$3+17&gt;Pengaturan!$B$4,"",Pengaturan!$B$3+17)</f>
      </c>
      <c r="B21" s="3">
        <f>IF(A21="","",Pengaturan!$B$13)</f>
      </c>
      <c r="C21" s="3">
        <f>IF(A21="","",Pengaturan!$B$14)</f>
      </c>
      <c r="D21" s="14">
        <f>IF(A21="","",B21+C21)</f>
      </c>
    </row>
    <row r="22">
      <c r="A22" s="4">
        <f>IF(Pengaturan!$B$3+18&gt;Pengaturan!$B$4,"",Pengaturan!$B$3+18)</f>
      </c>
      <c r="B22" s="3">
        <f>IF(A22="","",Pengaturan!$B$13)</f>
      </c>
      <c r="C22" s="3">
        <f>IF(A22="","",Pengaturan!$B$14)</f>
      </c>
      <c r="D22" s="14">
        <f>IF(A22="","",B22+C22)</f>
      </c>
    </row>
    <row r="23">
      <c r="A23" s="4">
        <f>IF(Pengaturan!$B$3+19&gt;Pengaturan!$B$4,"",Pengaturan!$B$3+19)</f>
      </c>
      <c r="B23" s="3">
        <f>IF(A23="","",Pengaturan!$B$13)</f>
      </c>
      <c r="C23" s="3">
        <f>IF(A23="","",Pengaturan!$B$14)</f>
      </c>
      <c r="D23" s="14">
        <f>IF(A23="","",B23+C23)</f>
      </c>
    </row>
    <row r="24">
      <c r="A24" s="4">
        <f>IF(Pengaturan!$B$3+20&gt;Pengaturan!$B$4,"",Pengaturan!$B$3+20)</f>
      </c>
      <c r="B24" s="3">
        <f>IF(A24="","",Pengaturan!$B$13)</f>
      </c>
      <c r="C24" s="3">
        <f>IF(A24="","",Pengaturan!$B$14)</f>
      </c>
      <c r="D24" s="14">
        <f>IF(A24="","",B24+C24)</f>
      </c>
    </row>
    <row r="25">
      <c r="A25" s="4">
        <f>IF(Pengaturan!$B$3+21&gt;Pengaturan!$B$4,"",Pengaturan!$B$3+21)</f>
      </c>
      <c r="B25" s="3">
        <f>IF(A25="","",Pengaturan!$B$13)</f>
      </c>
      <c r="C25" s="3">
        <f>IF(A25="","",Pengaturan!$B$14)</f>
      </c>
      <c r="D25" s="14">
        <f>IF(A25="","",B25+C25)</f>
      </c>
    </row>
    <row r="26">
      <c r="A26" s="4">
        <f>IF(Pengaturan!$B$3+22&gt;Pengaturan!$B$4,"",Pengaturan!$B$3+22)</f>
      </c>
      <c r="B26" s="3">
        <f>IF(A26="","",Pengaturan!$B$13)</f>
      </c>
      <c r="C26" s="3">
        <f>IF(A26="","",Pengaturan!$B$14)</f>
      </c>
      <c r="D26" s="14">
        <f>IF(A26="","",B26+C26)</f>
      </c>
    </row>
    <row r="27">
      <c r="A27" s="4">
        <f>IF(Pengaturan!$B$3+23&gt;Pengaturan!$B$4,"",Pengaturan!$B$3+23)</f>
      </c>
      <c r="B27" s="3">
        <f>IF(A27="","",Pengaturan!$B$13)</f>
      </c>
      <c r="C27" s="3">
        <f>IF(A27="","",Pengaturan!$B$14)</f>
      </c>
      <c r="D27" s="14">
        <f>IF(A27="","",B27+C27)</f>
      </c>
    </row>
    <row r="28">
      <c r="A28" s="4">
        <f>IF(Pengaturan!$B$3+24&gt;Pengaturan!$B$4,"",Pengaturan!$B$3+24)</f>
      </c>
      <c r="B28" s="3">
        <f>IF(A28="","",Pengaturan!$B$13)</f>
      </c>
      <c r="C28" s="3">
        <f>IF(A28="","",Pengaturan!$B$14)</f>
      </c>
      <c r="D28" s="14">
        <f>IF(A28="","",B28+C28)</f>
      </c>
    </row>
    <row r="29">
      <c r="A29" s="4">
        <f>IF(Pengaturan!$B$3+25&gt;Pengaturan!$B$4,"",Pengaturan!$B$3+25)</f>
      </c>
      <c r="B29" s="3">
        <f>IF(A29="","",Pengaturan!$B$13)</f>
      </c>
      <c r="C29" s="3">
        <f>IF(A29="","",Pengaturan!$B$14)</f>
      </c>
      <c r="D29" s="14">
        <f>IF(A29="","",B29+C29)</f>
      </c>
    </row>
    <row r="30">
      <c r="A30" s="4">
        <f>IF(Pengaturan!$B$3+26&gt;Pengaturan!$B$4,"",Pengaturan!$B$3+26)</f>
      </c>
      <c r="B30" s="3">
        <f>IF(A30="","",Pengaturan!$B$13)</f>
      </c>
      <c r="C30" s="3">
        <f>IF(A30="","",Pengaturan!$B$14)</f>
      </c>
      <c r="D30" s="14">
        <f>IF(A30="","",B30+C30)</f>
      </c>
    </row>
    <row r="31">
      <c r="A31" s="4">
        <f>IF(Pengaturan!$B$3+27&gt;Pengaturan!$B$4,"",Pengaturan!$B$3+27)</f>
      </c>
      <c r="B31" s="3">
        <f>IF(A31="","",Pengaturan!$B$13)</f>
      </c>
      <c r="C31" s="3">
        <f>IF(A31="","",Pengaturan!$B$14)</f>
      </c>
      <c r="D31" s="14">
        <f>IF(A31="","",B31+C31)</f>
      </c>
    </row>
    <row r="32">
      <c r="A32" s="4">
        <f>IF(Pengaturan!$B$3+28&gt;Pengaturan!$B$4,"",Pengaturan!$B$3+28)</f>
      </c>
      <c r="B32" s="3">
        <f>IF(A32="","",Pengaturan!$B$13)</f>
      </c>
      <c r="C32" s="3">
        <f>IF(A32="","",Pengaturan!$B$14)</f>
      </c>
      <c r="D32" s="14">
        <f>IF(A32="","",B32+C32)</f>
      </c>
    </row>
    <row r="33">
      <c r="A33" s="4">
        <f>IF(Pengaturan!$B$3+29&gt;Pengaturan!$B$4,"",Pengaturan!$B$3+29)</f>
      </c>
      <c r="B33" s="3">
        <f>IF(A33="","",Pengaturan!$B$13)</f>
      </c>
      <c r="C33" s="3">
        <f>IF(A33="","",Pengaturan!$B$14)</f>
      </c>
      <c r="D33" s="14">
        <f>IF(A33="","",B33+C33)</f>
      </c>
    </row>
    <row r="34">
      <c r="A34" s="4">
        <f>IF(Pengaturan!$B$3+30&gt;Pengaturan!$B$4,"",Pengaturan!$B$3+30)</f>
      </c>
      <c r="B34" s="3">
        <f>IF(A34="","",Pengaturan!$B$13)</f>
      </c>
      <c r="C34" s="3">
        <f>IF(A34="","",Pengaturan!$B$14)</f>
      </c>
      <c r="D34" s="14">
        <f>IF(A34="","",B34+C34)</f>
      </c>
    </row>
    <row r="35">
</row>
    <row r="36">
      <c r="A36" s="5" t="inlineStr">
        <is>
          <t xml:space="preserve">TOTAL</t>
        </is>
      </c>
      <c r="B36" s="7">
        <f>SUM(B4:B34)</f>
      </c>
      <c r="C36" s="7">
        <f>SUM(C4:C34)</f>
      </c>
      <c r="D36" s="7">
        <f>SUM(D4:D34)</f>
      </c>
    </row>
  </sheetData>
  <mergeCells count="1">
    <mergeCell ref="A1:E1"/>
  </mergeCell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48235"/>
  </sheetPr>
  <sheetViews>
    <sheetView workbookViewId="0">
      <pane xSplit="0" ySplit="3" topLeftCell="A4" activePane="bottomRight" state="frozen"/>
      <selection pane="bottomRight" activeCell="A4" sqref="A4"/>
    </sheetView>
  </sheetViews>
  <sheetFormatPr defaultRowHeight="17"/>
  <cols>
    <col min="1" max="1" width="14" customWidth="1"/>
    <col min="2" max="2" width="28" customWidth="1"/>
    <col min="3" max="3" width="18" customWidth="1"/>
    <col min="4" max="4" width="8" customWidth="1"/>
    <col min="5" max="5" width="10" customWidth="1"/>
    <col min="6" max="6" width="18" customWidth="1"/>
    <col min="7" max="7" width="18" customWidth="1"/>
    <col min="8" max="8" width="22" customWidth="1"/>
  </cols>
  <sheetData>
    <row r="1" ht="32" customHeight="1">
      <c r="A1" s="2" t="inlineStr">
        <is>
          <t xml:space="preserve">LOG PENGELUARAN BAHAN PANGAN</t>
        </is>
      </c>
    </row>
    <row r="2" ht="20" customHeight="1">
      <c r="A2" s="31" t="inlineStr">
        <is>
          <t xml:space="preserve">Catat semua transaksi bahan pangan di sini</t>
        </is>
      </c>
    </row>
    <row r="3">
      <c r="A3" s="1" t="inlineStr">
        <is>
          <t xml:space="preserve">Tanggal</t>
        </is>
      </c>
      <c r="B3" s="1" t="inlineStr">
        <is>
          <t xml:space="preserve">Item / Bahan</t>
        </is>
      </c>
      <c r="C3" s="1" t="inlineStr">
        <is>
          <t xml:space="preserve">Kategori</t>
        </is>
      </c>
      <c r="D3" s="1" t="inlineStr">
        <is>
          <t xml:space="preserve">Qty</t>
        </is>
      </c>
      <c r="E3" s="1" t="inlineStr">
        <is>
          <t xml:space="preserve">Satuan</t>
        </is>
      </c>
      <c r="F3" s="1" t="inlineStr">
        <is>
          <t xml:space="preserve">Harga Satuan (Rp)</t>
        </is>
      </c>
      <c r="G3" s="1" t="inlineStr">
        <is>
          <t xml:space="preserve">Jumlah (Rp)</t>
        </is>
      </c>
      <c r="H3" s="1" t="inlineStr">
        <is>
          <t xml:space="preserve">Keterangan</t>
        </is>
      </c>
    </row>
    <row r="4">
      <c r="A4" s="4">
        <v>46143</v>
      </c>
      <c r="B4" s="0" t="inlineStr">
        <is>
          <t xml:space="preserve">Beras premium</t>
        </is>
      </c>
      <c r="C4" s="0" t="inlineStr">
        <is>
          <t xml:space="preserve">Karbohidrat</t>
        </is>
      </c>
      <c r="D4" s="11">
        <v>50</v>
      </c>
      <c r="E4" s="0" t="inlineStr">
        <is>
          <t xml:space="preserve">kg</t>
        </is>
      </c>
      <c r="F4" s="3">
        <v>15000</v>
      </c>
      <c r="G4" s="9">
        <f>D4*F4</f>
      </c>
      <c r="H4" s="0" t="inlineStr">
        <is>
          <t xml:space="preserve">Stok awal</t>
        </is>
      </c>
    </row>
    <row r="5">
      <c r="A5" s="4">
        <v>46143</v>
      </c>
      <c r="B5" s="0" t="inlineStr">
        <is>
          <t xml:space="preserve">Ayam potong</t>
        </is>
      </c>
      <c r="C5" s="0" t="inlineStr">
        <is>
          <t xml:space="preserve">Protein Hewani</t>
        </is>
      </c>
      <c r="D5" s="11">
        <v>20</v>
      </c>
      <c r="E5" s="0" t="inlineStr">
        <is>
          <t xml:space="preserve">kg</t>
        </is>
      </c>
      <c r="F5" s="3">
        <v>38000</v>
      </c>
      <c r="G5" s="9">
        <f>D5*F5</f>
      </c>
      <c r="H5" s="0" t="inlineStr">
        <is>
          <t xml:space="preserve">Menu hari 1</t>
        </is>
      </c>
    </row>
    <row r="6">
      <c r="A6" s="4">
        <v>46144</v>
      </c>
      <c r="B6" s="0" t="inlineStr">
        <is>
          <t xml:space="preserve">Sayur bayam</t>
        </is>
      </c>
      <c r="C6" s="0" t="inlineStr">
        <is>
          <t xml:space="preserve">Sayuran</t>
        </is>
      </c>
      <c r="D6" s="11">
        <v>15</v>
      </c>
      <c r="E6" s="0" t="inlineStr">
        <is>
          <t xml:space="preserve">ikat</t>
        </is>
      </c>
      <c r="F6" s="3">
        <v>3500</v>
      </c>
      <c r="G6" s="9">
        <f>D6*F6</f>
      </c>
    </row>
    <row r="7">
      <c r="A7" s="4">
        <v>46144</v>
      </c>
      <c r="B7" s="0" t="inlineStr">
        <is>
          <t xml:space="preserve">Telur ayam</t>
        </is>
      </c>
      <c r="C7" s="0" t="inlineStr">
        <is>
          <t xml:space="preserve">Protein Hewani</t>
        </is>
      </c>
      <c r="D7" s="11">
        <v>8</v>
      </c>
      <c r="E7" s="0" t="inlineStr">
        <is>
          <t xml:space="preserve">kg</t>
        </is>
      </c>
      <c r="F7" s="3">
        <v>28000</v>
      </c>
      <c r="G7" s="9">
        <f>D7*F7</f>
      </c>
    </row>
    <row r="8">
      <c r="A8" s="4">
        <v>46145</v>
      </c>
      <c r="B8" s="0" t="inlineStr">
        <is>
          <t xml:space="preserve">Ikan nila</t>
        </is>
      </c>
      <c r="C8" s="0" t="inlineStr">
        <is>
          <t xml:space="preserve">Protein Hewani</t>
        </is>
      </c>
      <c r="D8" s="11">
        <v>18</v>
      </c>
      <c r="E8" s="0" t="inlineStr">
        <is>
          <t xml:space="preserve">kg</t>
        </is>
      </c>
      <c r="F8" s="3">
        <v>32000</v>
      </c>
      <c r="G8" s="9">
        <f>D8*F8</f>
      </c>
    </row>
    <row r="9">
      <c r="A9" s="4">
        <v>46145</v>
      </c>
      <c r="B9" s="0" t="inlineStr">
        <is>
          <t xml:space="preserve">Wortel</t>
        </is>
      </c>
      <c r="C9" s="0" t="inlineStr">
        <is>
          <t xml:space="preserve">Sayuran</t>
        </is>
      </c>
      <c r="D9" s="11">
        <v>10</v>
      </c>
      <c r="E9" s="0" t="inlineStr">
        <is>
          <t xml:space="preserve">kg</t>
        </is>
      </c>
      <c r="F9" s="3">
        <v>8000</v>
      </c>
      <c r="G9" s="9">
        <f>D9*F9</f>
      </c>
    </row>
    <row r="10">
      <c r="A10" s="4">
        <v>46146</v>
      </c>
      <c r="B10" s="0" t="inlineStr">
        <is>
          <t xml:space="preserve">Tempe</t>
        </is>
      </c>
      <c r="C10" s="0" t="inlineStr">
        <is>
          <t xml:space="preserve">Protein Nabati</t>
        </is>
      </c>
      <c r="D10" s="11">
        <v>12</v>
      </c>
      <c r="E10" s="0" t="inlineStr">
        <is>
          <t xml:space="preserve">kg</t>
        </is>
      </c>
      <c r="F10" s="3">
        <v>12000</v>
      </c>
      <c r="G10" s="9">
        <f>D10*F10</f>
      </c>
    </row>
    <row r="11">
      <c r="A11" s="4">
        <v>46146</v>
      </c>
      <c r="B11" s="0" t="inlineStr">
        <is>
          <t xml:space="preserve">Minyak goreng</t>
        </is>
      </c>
      <c r="C11" s="0" t="inlineStr">
        <is>
          <t xml:space="preserve">Bumbu</t>
        </is>
      </c>
      <c r="D11" s="11">
        <v>5</v>
      </c>
      <c r="E11" s="0" t="inlineStr">
        <is>
          <t xml:space="preserve">liter</t>
        </is>
      </c>
      <c r="F11" s="3">
        <v>18000</v>
      </c>
      <c r="G11" s="9">
        <f>D11*F11</f>
      </c>
    </row>
    <row r="12">
      <c r="A12" s="4">
        <v>46147</v>
      </c>
      <c r="B12" s="0" t="inlineStr">
        <is>
          <t xml:space="preserve">Buah pisang</t>
        </is>
      </c>
      <c r="C12" s="0" t="inlineStr">
        <is>
          <t xml:space="preserve">Buah</t>
        </is>
      </c>
      <c r="D12" s="11">
        <v>20</v>
      </c>
      <c r="E12" s="0" t="inlineStr">
        <is>
          <t xml:space="preserve">sisir</t>
        </is>
      </c>
      <c r="F12" s="3">
        <v>15000</v>
      </c>
      <c r="G12" s="9">
        <f>D12*F12</f>
      </c>
    </row>
    <row r="13">
      <c r="A13" s="4">
        <v>46147</v>
      </c>
      <c r="B13" s="0" t="inlineStr">
        <is>
          <t xml:space="preserve">Bumbu dapur</t>
        </is>
      </c>
      <c r="C13" s="0" t="inlineStr">
        <is>
          <t xml:space="preserve">Bumbu</t>
        </is>
      </c>
      <c r="D13" s="11">
        <v>1</v>
      </c>
      <c r="E13" s="0" t="inlineStr">
        <is>
          <t xml:space="preserve">paket</t>
        </is>
      </c>
      <c r="F13" s="3">
        <v>150000</v>
      </c>
      <c r="G13" s="9">
        <f>D13*F13</f>
      </c>
      <c r="H13" s="0" t="inlineStr">
        <is>
          <t xml:space="preserve">Bawang, cabe</t>
        </is>
      </c>
    </row>
    <row r="14">
</row>
    <row r="15">
</row>
    <row r="16">
</row>
    <row r="17">
</row>
    <row r="18">
</row>
    <row r="19">
</row>
    <row r="20">
</row>
    <row r="21">
</row>
    <row r="22">
</row>
    <row r="23">
</row>
    <row r="24">
</row>
    <row r="25">
</row>
    <row r="26">
</row>
    <row r="27">
</row>
    <row r="28">
</row>
    <row r="29">
</row>
    <row r="30">
</row>
    <row r="31">
</row>
    <row r="32">
</row>
    <row r="33">
</row>
    <row r="34">
</row>
    <row r="35">
</row>
    <row r="36">
</row>
    <row r="37">
</row>
    <row r="38">
</row>
    <row r="39">
</row>
    <row r="40">
</row>
    <row r="41">
</row>
    <row r="42">
</row>
    <row r="43">
</row>
    <row r="44">
</row>
    <row r="45">
</row>
    <row r="46">
</row>
    <row r="47">
</row>
    <row r="48">
</row>
    <row r="49">
</row>
    <row r="50">
</row>
    <row r="51">
</row>
    <row r="52">
</row>
    <row r="53">
</row>
    <row r="54">
</row>
    <row r="55">
</row>
    <row r="56">
</row>
    <row r="57">
</row>
    <row r="58">
</row>
    <row r="59">
</row>
    <row r="60">
</row>
    <row r="61">
</row>
    <row r="62">
</row>
    <row r="63">
</row>
    <row r="64">
</row>
    <row r="65">
</row>
    <row r="66">
</row>
    <row r="67">
</row>
    <row r="68">
</row>
    <row r="69">
</row>
    <row r="70">
</row>
    <row r="71">
</row>
    <row r="72">
</row>
    <row r="73">
</row>
    <row r="74">
</row>
    <row r="75">
</row>
    <row r="76">
</row>
    <row r="77">
</row>
    <row r="78">
</row>
    <row r="79">
</row>
    <row r="80">
</row>
    <row r="81">
</row>
    <row r="82">
</row>
    <row r="83">
</row>
    <row r="84">
</row>
    <row r="85">
</row>
    <row r="86">
</row>
    <row r="87">
</row>
    <row r="88">
</row>
    <row r="89">
</row>
    <row r="90">
</row>
    <row r="91">
</row>
    <row r="92">
</row>
    <row r="93">
</row>
    <row r="94">
</row>
    <row r="95">
</row>
    <row r="96">
</row>
    <row r="97">
</row>
    <row r="98">
</row>
    <row r="99">
</row>
    <row r="100">
</row>
    <row r="101">
</row>
    <row r="102">
</row>
    <row r="103">
</row>
    <row r="104">
</row>
    <row r="105">
</row>
    <row r="106">
</row>
    <row r="107">
</row>
    <row r="108">
</row>
    <row r="109">
</row>
    <row r="110">
</row>
    <row r="111">
</row>
    <row r="112">
</row>
    <row r="113">
</row>
    <row r="114">
</row>
    <row r="115">
</row>
    <row r="116">
</row>
    <row r="117">
</row>
    <row r="118">
</row>
    <row r="119">
</row>
    <row r="120">
</row>
    <row r="121">
</row>
    <row r="122">
</row>
    <row r="123">
</row>
    <row r="124">
</row>
    <row r="125">
      <c r="F125" s="5" t="inlineStr">
        <is>
          <t xml:space="preserve">TOTAL PENGELUARAN PANGAN</t>
        </is>
      </c>
      <c r="G125" s="7">
        <f>SUM(G4:G123)</f>
      </c>
    </row>
  </sheetData>
  <mergeCells count="1">
    <mergeCell ref="A1:H1"/>
  </mergeCell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ED7D31"/>
  </sheetPr>
  <sheetViews>
    <sheetView workbookViewId="0">
      <pane xSplit="0" ySplit="3" topLeftCell="A4" activePane="bottomRight" state="frozen"/>
      <selection pane="bottomRight" activeCell="A4" sqref="A4"/>
    </sheetView>
  </sheetViews>
  <sheetFormatPr defaultRowHeight="17"/>
  <cols>
    <col min="1" max="1" width="14" customWidth="1"/>
    <col min="2" max="2" width="28" customWidth="1"/>
    <col min="3" max="3" width="18" customWidth="1"/>
    <col min="4" max="4" width="8" customWidth="1"/>
    <col min="5" max="5" width="10" customWidth="1"/>
    <col min="6" max="6" width="18" customWidth="1"/>
    <col min="7" max="7" width="18" customWidth="1"/>
    <col min="8" max="8" width="22" customWidth="1"/>
  </cols>
  <sheetData>
    <row r="1" ht="32" customHeight="1">
      <c r="A1" s="2" t="inlineStr">
        <is>
          <t xml:space="preserve">LOG PENGELUARAN OPERASIONAL</t>
        </is>
      </c>
    </row>
    <row r="2" ht="20" customHeight="1">
      <c r="A2" s="31" t="inlineStr">
        <is>
          <t xml:space="preserve">Catat semua biaya operasional non-bahan pangan di sini</t>
        </is>
      </c>
    </row>
    <row r="3">
      <c r="A3" s="1" t="inlineStr">
        <is>
          <t xml:space="preserve">Tanggal</t>
        </is>
      </c>
      <c r="B3" s="1" t="inlineStr">
        <is>
          <t xml:space="preserve">Deskripsi</t>
        </is>
      </c>
      <c r="C3" s="1" t="inlineStr">
        <is>
          <t xml:space="preserve">Kategori</t>
        </is>
      </c>
      <c r="D3" s="1" t="inlineStr">
        <is>
          <t xml:space="preserve">Qty</t>
        </is>
      </c>
      <c r="E3" s="1" t="inlineStr">
        <is>
          <t xml:space="preserve">Satuan</t>
        </is>
      </c>
      <c r="F3" s="1" t="inlineStr">
        <is>
          <t xml:space="preserve">Harga Satuan (Rp)</t>
        </is>
      </c>
      <c r="G3" s="1" t="inlineStr">
        <is>
          <t xml:space="preserve">Jumlah (Rp)</t>
        </is>
      </c>
      <c r="H3" s="1" t="inlineStr">
        <is>
          <t xml:space="preserve">Keterangan</t>
        </is>
      </c>
    </row>
    <row r="4">
      <c r="A4" s="4">
        <v>46143</v>
      </c>
      <c r="B4" s="0" t="inlineStr">
        <is>
          <t xml:space="preserve">Gas LPG 12kg</t>
        </is>
      </c>
      <c r="C4" s="0" t="inlineStr">
        <is>
          <t xml:space="preserve">Bahan Bakar</t>
        </is>
      </c>
      <c r="D4" s="11">
        <v>2</v>
      </c>
      <c r="E4" s="0" t="inlineStr">
        <is>
          <t xml:space="preserve">tabung</t>
        </is>
      </c>
      <c r="F4" s="3">
        <v>185000</v>
      </c>
      <c r="G4" s="9">
        <f>D4*F4</f>
      </c>
      <c r="H4" s="0" t="inlineStr">
        <is>
          <t xml:space="preserve">Memasak</t>
        </is>
      </c>
    </row>
    <row r="5">
      <c r="A5" s="4">
        <v>46144</v>
      </c>
      <c r="B5" s="0" t="inlineStr">
        <is>
          <t xml:space="preserve">Gaji juru masak</t>
        </is>
      </c>
      <c r="C5" s="0" t="inlineStr">
        <is>
          <t xml:space="preserve">Tenaga Kerja</t>
        </is>
      </c>
      <c r="D5" s="11">
        <v>1</v>
      </c>
      <c r="E5" s="0" t="inlineStr">
        <is>
          <t xml:space="preserve">orang</t>
        </is>
      </c>
      <c r="F5" s="3">
        <v>150000</v>
      </c>
      <c r="G5" s="9">
        <f>D5*F5</f>
      </c>
      <c r="H5" s="0" t="inlineStr">
        <is>
          <t xml:space="preserve">Harian</t>
        </is>
      </c>
    </row>
    <row r="6">
      <c r="A6" s="4">
        <v>46144</v>
      </c>
      <c r="B6" s="0" t="inlineStr">
        <is>
          <t xml:space="preserve">Listrik &amp; air</t>
        </is>
      </c>
      <c r="C6" s="0" t="inlineStr">
        <is>
          <t xml:space="preserve">Utilitas</t>
        </is>
      </c>
      <c r="D6" s="11">
        <v>1</v>
      </c>
      <c r="E6" s="0" t="inlineStr">
        <is>
          <t xml:space="preserve">bulan</t>
        </is>
      </c>
      <c r="F6" s="3">
        <v>450000</v>
      </c>
      <c r="G6" s="9">
        <f>D6*F6</f>
      </c>
    </row>
    <row r="7">
      <c r="A7" s="4">
        <v>46145</v>
      </c>
      <c r="B7" s="0" t="inlineStr">
        <is>
          <t xml:space="preserve">Sabun cuci &amp; pembersih</t>
        </is>
      </c>
      <c r="C7" s="0" t="inlineStr">
        <is>
          <t xml:space="preserve">Sanitasi</t>
        </is>
      </c>
      <c r="D7" s="11">
        <v>5</v>
      </c>
      <c r="E7" s="0" t="inlineStr">
        <is>
          <t xml:space="preserve">pcs</t>
        </is>
      </c>
      <c r="F7" s="3">
        <v>25000</v>
      </c>
      <c r="G7" s="9">
        <f>D7*F7</f>
      </c>
    </row>
    <row r="8">
      <c r="A8" s="4">
        <v>46146</v>
      </c>
      <c r="B8" s="0" t="inlineStr">
        <is>
          <t xml:space="preserve">Kemasan makan</t>
        </is>
      </c>
      <c r="C8" s="0" t="inlineStr">
        <is>
          <t xml:space="preserve">Packaging</t>
        </is>
      </c>
      <c r="D8" s="11">
        <v>200</v>
      </c>
      <c r="E8" s="0" t="inlineStr">
        <is>
          <t xml:space="preserve">pcs</t>
        </is>
      </c>
      <c r="F8" s="3">
        <v>1500</v>
      </c>
      <c r="G8" s="9">
        <f>D8*F8</f>
      </c>
    </row>
    <row r="9">
      <c r="A9" s="4">
        <v>46147</v>
      </c>
      <c r="B9" s="0" t="inlineStr">
        <is>
          <t xml:space="preserve">Transportasi distribusi</t>
        </is>
      </c>
      <c r="C9" s="0" t="inlineStr">
        <is>
          <t xml:space="preserve">Transportasi</t>
        </is>
      </c>
      <c r="D9" s="11">
        <v>1</v>
      </c>
      <c r="E9" s="0" t="inlineStr">
        <is>
          <t xml:space="preserve">trip</t>
        </is>
      </c>
      <c r="F9" s="3">
        <v>120000</v>
      </c>
      <c r="G9" s="9">
        <f>D9*F9</f>
      </c>
    </row>
    <row r="10">
      <c r="A10" s="4">
        <v>46148</v>
      </c>
      <c r="B10" s="0" t="inlineStr">
        <is>
          <t xml:space="preserve">Alat masak (spatula)</t>
        </is>
      </c>
      <c r="C10" s="0" t="inlineStr">
        <is>
          <t xml:space="preserve">Peralatan</t>
        </is>
      </c>
      <c r="D10" s="11">
        <v>3</v>
      </c>
      <c r="E10" s="0" t="inlineStr">
        <is>
          <t xml:space="preserve">pcs</t>
        </is>
      </c>
      <c r="F10" s="3">
        <v>35000</v>
      </c>
      <c r="G10" s="9">
        <f>D10*F10</f>
      </c>
    </row>
    <row r="11">
      <c r="A11" s="4">
        <v>46149</v>
      </c>
      <c r="B11" s="0" t="inlineStr">
        <is>
          <t xml:space="preserve">Perawatan kompor</t>
        </is>
      </c>
      <c r="C11" s="0" t="inlineStr">
        <is>
          <t xml:space="preserve">Pemeliharaan</t>
        </is>
      </c>
      <c r="D11" s="11">
        <v>1</v>
      </c>
      <c r="E11" s="0" t="inlineStr">
        <is>
          <t xml:space="preserve">kali</t>
        </is>
      </c>
      <c r="F11" s="3">
        <v>200000</v>
      </c>
      <c r="G11" s="9">
        <f>D11*F11</f>
      </c>
    </row>
    <row r="12">
</row>
    <row r="13">
</row>
    <row r="14">
</row>
    <row r="15">
</row>
    <row r="16">
</row>
    <row r="17">
</row>
    <row r="18">
</row>
    <row r="19">
</row>
    <row r="20">
</row>
    <row r="21">
</row>
    <row r="22">
</row>
    <row r="23">
</row>
    <row r="24">
</row>
    <row r="25">
</row>
    <row r="26">
</row>
    <row r="27">
</row>
    <row r="28">
</row>
    <row r="29">
</row>
    <row r="30">
</row>
    <row r="31">
</row>
    <row r="32">
</row>
    <row r="33">
</row>
    <row r="34">
</row>
    <row r="35">
</row>
    <row r="36">
</row>
    <row r="37">
</row>
    <row r="38">
</row>
    <row r="39">
</row>
    <row r="40">
</row>
    <row r="41">
</row>
    <row r="42">
</row>
    <row r="43">
</row>
    <row r="44">
</row>
    <row r="45">
</row>
    <row r="46">
</row>
    <row r="47">
</row>
    <row r="48">
</row>
    <row r="49">
</row>
    <row r="50">
</row>
    <row r="51">
</row>
    <row r="52">
</row>
    <row r="53">
</row>
    <row r="54">
</row>
    <row r="55">
</row>
    <row r="56">
</row>
    <row r="57">
</row>
    <row r="58">
</row>
    <row r="59">
</row>
    <row r="60">
</row>
    <row r="61">
</row>
    <row r="62">
</row>
    <row r="63">
</row>
    <row r="64">
</row>
    <row r="65">
</row>
    <row r="66">
</row>
    <row r="67">
</row>
    <row r="68">
</row>
    <row r="69">
</row>
    <row r="70">
</row>
    <row r="71">
</row>
    <row r="72">
</row>
    <row r="73">
</row>
    <row r="74">
</row>
    <row r="75">
</row>
    <row r="76">
</row>
    <row r="77">
</row>
    <row r="78">
</row>
    <row r="79">
</row>
    <row r="80">
</row>
    <row r="81">
</row>
    <row r="82">
</row>
    <row r="83">
</row>
    <row r="84">
</row>
    <row r="85">
</row>
    <row r="86">
</row>
    <row r="87">
</row>
    <row r="88">
</row>
    <row r="89">
</row>
    <row r="90">
</row>
    <row r="91">
</row>
    <row r="92">
</row>
    <row r="93">
</row>
    <row r="94">
</row>
    <row r="95">
</row>
    <row r="96">
</row>
    <row r="97">
</row>
    <row r="98">
</row>
    <row r="99">
</row>
    <row r="100">
</row>
    <row r="101">
</row>
    <row r="102">
</row>
    <row r="103">
</row>
    <row r="104">
</row>
    <row r="105">
</row>
    <row r="106">
</row>
    <row r="107">
</row>
    <row r="108">
</row>
    <row r="109">
</row>
    <row r="110">
</row>
    <row r="111">
</row>
    <row r="112">
</row>
    <row r="113">
</row>
    <row r="114">
</row>
    <row r="115">
</row>
    <row r="116">
</row>
    <row r="117">
</row>
    <row r="118">
</row>
    <row r="119">
</row>
    <row r="120">
</row>
    <row r="121">
</row>
    <row r="122">
</row>
    <row r="123">
      <c r="F123" s="5" t="inlineStr">
        <is>
          <t xml:space="preserve">TOTAL PENGELUARAN OPERASIONAL</t>
        </is>
      </c>
      <c r="G123" s="7">
        <f>SUM(G4:G121)</f>
      </c>
    </row>
  </sheetData>
  <mergeCells count="1">
    <mergeCell ref="A1:H1"/>
  </mergeCell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sheetViews>
    <sheetView workbookViewId="0">
      <selection activeCell="A1" sqref="A1"/>
    </sheetView>
  </sheetViews>
  <sheetFormatPr defaultRowHeight="17"/>
  <cols>
    <col min="1" max="1" width="28" customWidth="1"/>
    <col min="2" max="2" width="28" customWidth="1"/>
  </cols>
  <sheetData>
    <row r="1" ht="32" customHeight="1">
      <c r="A1" s="2" t="inlineStr">
        <is>
          <t xml:space="preserve">DAFTAR KATEGORI (REFERENSI)</t>
        </is>
      </c>
    </row>
    <row r="2" ht="20" customHeight="1">
      <c r="A2" s="31" t="inlineStr">
        <is>
          <t xml:space="preserve">Gunakan nama kategori yang konsisten agar SUMIF akurat</t>
        </is>
      </c>
    </row>
    <row r="3">
      <c r="A3" s="1" t="inlineStr">
        <is>
          <t xml:space="preserve">Kategori Bahan Pangan</t>
        </is>
      </c>
      <c r="B3" s="1" t="inlineStr">
        <is>
          <t xml:space="preserve">Kategori Operasional</t>
        </is>
      </c>
    </row>
    <row r="4">
      <c r="A4" s="0" t="inlineStr">
        <is>
          <t xml:space="preserve">Karbohidrat</t>
        </is>
      </c>
      <c r="B4" s="0" t="inlineStr">
        <is>
          <t xml:space="preserve">Bahan Bakar</t>
        </is>
      </c>
    </row>
    <row r="5">
      <c r="A5" s="0" t="inlineStr">
        <is>
          <t xml:space="preserve">Protein Hewani</t>
        </is>
      </c>
      <c r="B5" s="0" t="inlineStr">
        <is>
          <t xml:space="preserve">Tenaga Kerja</t>
        </is>
      </c>
    </row>
    <row r="6">
      <c r="A6" s="0" t="inlineStr">
        <is>
          <t xml:space="preserve">Protein Nabati</t>
        </is>
      </c>
      <c r="B6" s="0" t="inlineStr">
        <is>
          <t xml:space="preserve">Utilitas</t>
        </is>
      </c>
    </row>
    <row r="7">
      <c r="A7" s="0" t="inlineStr">
        <is>
          <t xml:space="preserve">Sayuran</t>
        </is>
      </c>
      <c r="B7" s="0" t="inlineStr">
        <is>
          <t xml:space="preserve">Sanitasi</t>
        </is>
      </c>
    </row>
    <row r="8">
      <c r="A8" s="0" t="inlineStr">
        <is>
          <t xml:space="preserve">Buah</t>
        </is>
      </c>
      <c r="B8" s="0" t="inlineStr">
        <is>
          <t xml:space="preserve">Packaging</t>
        </is>
      </c>
    </row>
    <row r="9">
      <c r="A9" s="0" t="inlineStr">
        <is>
          <t xml:space="preserve">Susu &amp; Olahan</t>
        </is>
      </c>
      <c r="B9" s="0" t="inlineStr">
        <is>
          <t xml:space="preserve">Transportasi</t>
        </is>
      </c>
    </row>
    <row r="10">
      <c r="A10" s="0" t="inlineStr">
        <is>
          <t xml:space="preserve">Bumbu</t>
        </is>
      </c>
      <c r="B10" s="0" t="inlineStr">
        <is>
          <t xml:space="preserve">Peralatan</t>
        </is>
      </c>
    </row>
    <row r="11">
      <c r="A11" s="0" t="inlineStr">
        <is>
          <t xml:space="preserve">Minuman</t>
        </is>
      </c>
      <c r="B11" s="0" t="inlineStr">
        <is>
          <t xml:space="preserve">Pemeliharaan</t>
        </is>
      </c>
    </row>
    <row r="12">
      <c r="A12" s="0" t="inlineStr">
        <is>
          <t xml:space="preserve">Lain-lain</t>
        </is>
      </c>
      <c r="B12" s="0" t="inlineStr">
        <is>
          <t xml:space="preserve">Administrasi</t>
        </is>
      </c>
    </row>
    <row r="13">
      <c r="B13" s="0" t="inlineStr">
        <is>
          <t xml:space="preserve">Lain-lain</t>
        </is>
      </c>
    </row>
  </sheetData>
  <mergeCells count="1">
    <mergeCell ref="A1:B1"/>
  </mergeCells>
</worksheet>
</file>