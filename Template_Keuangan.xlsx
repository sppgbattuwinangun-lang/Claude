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Pengaturan" sheetId="2" r:id="rId2"/>
    <sheet name="Pengeluaran Pangan" sheetId="3" r:id="rId3"/>
    <sheet name="Pengeluaran Operasional" sheetId="4" r:id="rId4"/>
    <sheet name="Rekap Harian" sheetId="5" r:id="rId5"/>
    <sheet name="Grafik" sheetId="6" r:id="rId6"/>
    <sheet name="Kategori" sheetId="7" r:id="rId7"/>
  </sheets>
</workbook>
</file>

<file path=xl/styles.xml><?xml version="1.0" encoding="utf-8"?>
<styleSheet xmlns="http://schemas.openxmlformats.org/spreadsheetml/2006/main">
  <numFmts count="4">
    <numFmt numFmtId="164" formatCode="&quot;Rp&quot;\ #,##0;[Red]&quot;Rp&quot;\ \-#,##0"/>
    <numFmt numFmtId="165" formatCode="dd\ mmm\ yyyy"/>
    <numFmt numFmtId="166" formatCode="0.0%"/>
    <numFmt numFmtId="167" formatCode="#,##0"/>
  </numFmts>
  <fonts count="10">
    <font>
      <sz val="11"/>
      <name val="Calibri"/>
    </font>
    <!-- 0 default -->
    <font>
      <b/>
      <sz val="11"/>
      <color rgb="FFFFFFFF"/>
      <name val="Calibri"/>
    </font>
    <!-- 1 header white -->
    <font>
      <b/>
      <sz val="18"/>
      <color rgb="FF1F4E79"/>
      <name val="Calibri"/>
    </font>
    <!-- 2 title -->
    <font>
      <b/>
      <sz val="11"/>
      <name val="Calibri"/>
    </font>
    <!-- 3 bold -->
    <font>
      <sz val="11"/>
      <color rgb="FFC00000"/>
      <name val="Calibri"/>
    </font>
    <!-- 4 red -->
    <font>
      <sz val="11"/>
      <color rgb="FF006100"/>
      <name val="Calibri"/>
    </font>
    <!-- 5 green -->
    <font>
      <i/>
      <sz val="9"/>
      <color rgb="FF808080"/>
      <name val="Calibri"/>
    </font>
    <!-- 6 small italic gray -->
    <font>
      <b/>
      <i/>
      <sz val="11"/>
      <name val="Calibri"/>
    </font>
    <!-- 7 bold italic -->
    <font>
      <b/>
      <sz val="14"/>
      <color rgb="FF1F4E79"/>
      <name val="Calibri"/>
    </font>
    <!-- 8 big bold KPI -->
    <font>
      <b/>
      <sz val="12"/>
      <color rgb="FFFFFFFF"/>
      <name val="Calibri"/>
    </font>
    <!-- 9 section header white --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!-- 2 biru tua -->
    <fill>
      <patternFill patternType="solid">
        <fgColor rgb="FFD9E1F2"/>
        <bgColor indexed="64"/>
      </patternFill>
    </fill>
    <!-- 3 biru muda -->
    <fill>
      <patternFill patternType="solid">
        <fgColor rgb="FFFFF2CC"/>
        <bgColor indexed="64"/>
      </patternFill>
    </fill>
    <!-- 4 kuning -->
    <fill>
      <patternFill patternType="solid">
        <fgColor rgb="FFE2EFDA"/>
        <bgColor indexed="64"/>
      </patternFill>
    </fill>
    <!-- 5 hijau muda -->
    <fill>
      <patternFill patternType="solid">
        <fgColor rgb="FF548235"/>
        <bgColor indexed="64"/>
      </patternFill>
    </fill>
    <!-- 6 hijau tua -->
    <fill>
      <patternFill patternType="solid">
        <fgColor rgb="FFED7D31"/>
        <bgColor indexed="64"/>
      </patternFill>
    </fill>
    <!-- 7 oranye -->
    <fill>
      <patternFill patternType="solid">
        <fgColor rgb="FFF2F2F2"/>
        <bgColor indexed="64"/>
      </patternFill>
    </fill>
    <!-- 8 abu sangat muda --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2">
    <xf numFmtId="0" fontId="0" fillId="0" borderId="0" xfId="0"/>
    <!-- 0 default -->
    <xf numFmtId="0" fontId="1" fillId="2" borderId="1" xfId="0" applyFont="1" applyFill="1" applyBorder="1" applyAlignment="1">
      <alignment horizontal="center" vertical="center" wrapText="1"/>
    </xf>
    <!-- 1 header biru -->
    <xf numFmtId="0" fontId="2" fillId="0" borderId="0" xfId="0" applyFont="1" applyAlignment="1">
      <alignment horizontal="center"/>
    </xf>
    <!-- 2 title -->
    <xf numFmtId="164" fontId="0" fillId="0" borderId="1" xfId="0" applyNumberFormat="1" applyBorder="1"/>
    <!-- 3 currency -->
    <xf numFmtId="165" fontId="0" fillId="0" borderId="1" xfId="0" applyNumberFormat="1" applyBorder="1" applyAlignment="1">
      <alignment horizontal="center"/>
    </xf>
    <!-- 4 date -->
    <xf numFmtId="0" fontId="3" fillId="3" borderId="1" xfId="0" applyFont="1" applyFill="1" applyBorder="1"/>
    <!-- 5 sub-header -->
    <xf numFmtId="166" fontId="0" fillId="0" borderId="1" xfId="0" applyNumberFormat="1" applyBorder="1" applyAlignment="1">
      <alignment horizontal="center"/>
    </xf>
    <!-- 6 percent -->
    <xf numFmtId="164" fontId="3" fillId="4" borderId="1" xfId="0" applyNumberFormat="1" applyFont="1" applyFill="1" applyBorder="1"/>
    <!-- 7 total -->
    <xf numFmtId="0" fontId="0" fillId="0" borderId="1" xfId="0" applyBorder="1" applyAlignment="1">
      <alignment horizontal="center" wrapText="1"/>
    </xf>
    <!-- 8 wrap center -->
    <xf numFmtId="164" fontId="4" fillId="0" borderId="1" xfId="0" applyNumberFormat="1" applyFont="1" applyBorder="1"/>
    <!-- 9 currency merah -->
    <xf numFmtId="164" fontId="5" fillId="0" borderId="1" xfId="0" applyNumberFormat="1" applyFont="1" applyBorder="1"/>
    <!-- 10 currency hijau -->
    <xf numFmtId="167" fontId="0" fillId="0" borderId="1" xfId="0" applyNumberFormat="1" applyBorder="1" applyAlignment="1">
      <alignment horizontal="center"/>
    </xf>
    <!-- 11 integer -->
    <xf numFmtId="0" fontId="7" fillId="0" borderId="0" xfId="0" applyFont="1"/>
    <!-- 12 label bold italic -->
    <xf numFmtId="0" fontId="9" fillId="5" borderId="1" xfId="0" applyFont="1" applyFill="1" applyBorder="1" applyAlignment="1">
      <alignment horizontal="center" vertical="center" wrapText="1"/>
    </xf>
    <!-- 13 section hijau muda -->
    <xf numFmtId="164" fontId="3" fillId="0" borderId="1" xfId="0" applyNumberFormat="1" applyFont="1" applyBorder="1"/>
    <!-- 14 currency bold -->
    <xf numFmtId="0" fontId="3" fillId="0" borderId="0" xfId="0" applyFont="1" applyAlignment="1">
      <alignment horizontal="center"/>
    </xf>
    <!-- 15 center bold -->
    <xf numFmtId="164" fontId="8" fillId="4" borderId="1" xfId="0" applyNumberFormat="1" applyFont="1" applyFill="1" applyBorder="1"/>
    <!-- 16 KPI besar -->
    <xf numFmtId="164" fontId="5" fillId="8" borderId="1" xfId="0" applyNumberFormat="1" applyFont="1" applyFill="1" applyBorder="1"/>
    <!-- 17 selisih default (akan di-cf) -->
    <xf numFmtId="164" fontId="4" fillId="8" borderId="1" xfId="0" applyNumberFormat="1" applyFont="1" applyFill="1" applyBorder="1"/>
    <!-- 18 selisih merah -->
    <xf numFmtId="0" fontId="6" fillId="0" borderId="0" xfId="0" applyFont="1"/>
    <!-- 19 small italic -->
    <xf numFmtId="0" fontId="9" fillId="7" borderId="1" xfId="0" applyFont="1" applyFill="1" applyBorder="1" applyAlignment="1">
      <alignment horizontal="center" vertical="center" wrapText="1"/>
    </xf>
    <!-- 20 header oranye -->
    <xf numFmtId="0" fontId="9" fillId="6" borderId="1" xfId="0" applyFont="1" applyFill="1" applyBorder="1" applyAlignment="1">
      <alignment horizontal="center" vertical="center" wrapText="1"/>
    </xf>
    <!-- 21 header hijau tua --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d-ID" b="1" sz="1400"/>
              <a:t>Anggaran vs Realisasi vs Sisa (Rp)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Grafik!$B$4</c:f>
              <c:strCache>
                <c:ptCount val="1"/>
                <c:pt idx="0">
                  <c:v>Dana Total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Grafik!$A$5:$A$6</c:f>
              <c:strCache>
                <c:ptCount val="2"/>
                <c:pt idx="0">
                  <c:v>Bahan Pangan</c:v>
                </c:pt>
                <c:pt idx="1">
                  <c:v>Operasional</c:v>
                </c:pt>
              </c:strCache>
            </c:strRef>
          </c:cat>
          <c:val>
            <c:numRef>
              <c:f>Grafik!$B$5:$B$6</c:f>
            </c:numRef>
          </c:val>
        </c:ser>
        <c:ser>
          <c:idx val="1"/>
          <c:order val="1"/>
          <c:tx>
            <c:strRef>
              <c:f>Grafik!$C$4</c:f>
              <c:strCache>
                <c:ptCount val="1"/>
                <c:pt idx="0">
                  <c:v>Terpakai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Grafik!$A$5:$A$6</c:f>
            </c:strRef>
          </c:cat>
          <c:val>
            <c:numRef>
              <c:f>Grafik!$C$5:$C$6</c:f>
            </c:numRef>
          </c:val>
        </c:ser>
        <c:ser>
          <c:idx val="2"/>
          <c:order val="2"/>
          <c:tx>
            <c:strRef>
              <c:f>Grafik!$D$4</c:f>
              <c:strCache>
                <c:ptCount val="1"/>
                <c:pt idx="0">
                  <c:v>Sisa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Grafik!$A$5:$A$6</c:f>
            </c:strRef>
          </c:cat>
          <c:val>
            <c:numRef>
              <c:f>Grafik!$D$5:$D$6</c:f>
            </c:numRef>
          </c:val>
        </c:ser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d-ID" b="1" sz="1400"/>
              <a:t>Rata-Rata Aktual vs Target Harian (Rp)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Grafik!$B$9</c:f>
              <c:strCache>
                <c:ptCount val="1"/>
                <c:pt idx="0">
                  <c:v>Rata-Rata Aktual/Hari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Grafik!$A$10:$A$11</c:f>
              <c:strCache>
                <c:ptCount val="2"/>
                <c:pt idx="0">
                  <c:v>Bahan Pangan</c:v>
                </c:pt>
                <c:pt idx="1">
                  <c:v>Operasional</c:v>
                </c:pt>
              </c:strCache>
            </c:strRef>
          </c:cat>
          <c:val>
            <c:numRef>
              <c:f>Grafik!$B$10:$B$11</c:f>
            </c:numRef>
          </c:val>
        </c:ser>
        <c:ser>
          <c:idx val="1"/>
          <c:order val="1"/>
          <c:tx>
            <c:strRef>
              <c:f>Grafik!$C$9</c:f>
              <c:strCache>
                <c:ptCount val="1"/>
                <c:pt idx="0">
                  <c:v>Target/Hari</c:v>
                </c:pt>
              </c:strCache>
            </c:strRef>
          </c:tx>
          <c:spPr>
            <a:solidFill>
              <a:srgbClr val="A5A5A5"/>
            </a:solidFill>
          </c:spPr>
          <c:cat>
            <c:strRef>
              <c:f>Grafik!$A$10:$A$11</c:f>
            </c:strRef>
          </c:cat>
          <c:val>
            <c:numRef>
              <c:f>Grafik!$C$10:$C$11</c:f>
            </c:numRef>
          </c:val>
        </c:ser>
        <c:gapWidth val="150"/>
        <c:axId val="3"/>
        <c:axId val="4"/>
      </c:barChart>
      <c:catAx>
        <c:axId val="3"/>
        <c:scaling>
          <c:orientation val="minMax"/>
        </c:scaling>
        <c:delete val="0"/>
        <c:axPos val="l"/>
        <c:crossAx val="4"/>
      </c:catAx>
      <c:valAx>
        <c:axId val="4"/>
        <c:scaling>
          <c:orientation val="minMax"/>
        </c:scaling>
        <c:delete val="0"/>
        <c:axPos val="b"/>
        <c:crossAx val="3"/>
      </c:valAx>
    </c:plotArea>
    <c:legend>
      <c:legendPos val="b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d-ID" b="1" sz="1400"/>
              <a:t>Komposisi Pengeluaran</a:t>
            </a:r>
          </a:p>
        </c:rich>
      </c:tx>
      <c:overlay val="0"/>
    </c:title>
    <c:autoTitleDeleted val="0"/>
    <c:plotArea>
      <c:layout/>
      <c:pie3DChart>
        <c:varyColors val="1"/>
        <c:ser>
          <c:idx val="0"/>
          <c:order val="0"/>
          <c:tx>
            <c:strRef>
              <c:f>Grafik!$B$14</c:f>
              <c:strCache>
                <c:ptCount val="1"/>
                <c:pt idx="0">
                  <c:v>Jumlah</c:v>
                </c:pt>
              </c:strCache>
            </c:strRef>
          </c:tx>
          <c:dPt>
            <c:idx val="0"/>
            <c:bubble3D val="0"/>
            <c:spPr>
              <a:solidFill>
                <a:srgbClr val="70AD47"/>
              </a:solidFill>
            </c:spPr>
          </c:dPt>
          <c:dPt>
            <c:idx val="1"/>
            <c:bubble3D val="0"/>
            <c:spPr>
              <a:solidFill>
                <a:srgbClr val="ED7D31"/>
              </a:solidFill>
            </c:spPr>
          </c:dPt>
          <c:dLbls>
            <c:spPr>
              <a:solidFill>
                <a:srgbClr val="FFFFFF"/>
              </a:solidFill>
            </c:spPr>
            <c:txPr>
              <a:bodyPr/>
              <a:lstStyle/>
              <a:p>
                <a:pPr>
                  <a:defRPr sz="1000" b="1"/>
                </a:pPr>
                <a:endParaRPr lang="id-ID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</c:dLbls>
          <c:cat>
            <c:strRef>
              <c:f>Grafik!$A$15:$A$16</c:f>
              <c:strCache>
                <c:ptCount val="2"/>
                <c:pt idx="0">
                  <c:v>Bahan Pangan</c:v>
                </c:pt>
                <c:pt idx="1">
                  <c:v>Operasional</c:v>
                </c:pt>
              </c:strCache>
            </c:strRef>
          </c:cat>
          <c:val>
            <c:numRef>
              <c:f>Grafik!$B$15:$B$16</c:f>
            </c:numRef>
          </c:val>
        </c:ser>
      </c:pie3DChart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</Relationships>
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13</xdr:col>
      <xdr:colOff>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13</xdr:col>
      <xdr:colOff>0</xdr:colOff>
      <xdr:row>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42" customWidth="1"/>
    <col min="2" max="2" width="22" customWidth="1"/>
    <col min="3" max="3" width="26" customWidth="1"/>
  </cols>
  <sheetData>
    <row r="1">
      <c r="A1" s="2" t="inlineStr">
        <is>
          <t xml:space="preserve">DASHBOARD LAPORAN KEUANGAN</t>
        </is>
      </c>
    </row>
    <row r="2">
      <c r="A2" s="19" t="inlineStr">
        <is>
          <t xml:space="preserve">SPPG Battuwinangun - Program Pemenuhan Gizi</t>
        </is>
      </c>
    </row>
    <row r="3">
</row>
    <row r="4">
      <c r="A4" s="12" t="inlineStr">
        <is>
          <t xml:space="preserve">Periode:</t>
        </is>
      </c>
      <c r="B4" s="15">
        <f>TEXT(Pengaturan!B3,"dd mmm yyyy")&amp;" s/d "&amp;TEXT(Pengaturan!B4,"dd mmm yyyy")</f>
      </c>
    </row>
    <row r="5">
      <c r="A5" s="12" t="inlineStr">
        <is>
          <t xml:space="preserve">Jumlah Hari:</t>
        </is>
      </c>
      <c r="B5" s="11">
        <f>Pengaturan!B5</f>
      </c>
    </row>
    <row r="6">
</row>
    <row r="7">
      <c r="A7" s="21" t="inlineStr">
        <is>
          <t xml:space="preserve">A. PENGELUARAN BAHAN PANGAN</t>
        </is>
      </c>
    </row>
    <row r="8">
</row>
    <row r="9">
      <c r="A9" s="12" t="inlineStr">
        <is>
          <t xml:space="preserve">Rata-Rata Pengeluaran Bahan Pangan / Hari</t>
        </is>
      </c>
      <c r="B9" s="16">
        <f>IFERROR('Pengeluaran Pangan'!G115/Pengaturan!B5,0)</f>
      </c>
    </row>
    <row r="10">
      <c r="A10" s="12" t="inlineStr">
        <is>
          <t xml:space="preserve">Pengeluaran Bahan Pangan Seharusnya / Hari</t>
        </is>
      </c>
      <c r="B10" s="16">
        <f>Pengaturan!B13</f>
      </c>
    </row>
    <row r="11">
      <c r="A11" s="12" t="inlineStr">
        <is>
          <t xml:space="preserve">Selisih Pengeluaran Bahan Pangan / Hari</t>
        </is>
      </c>
      <c r="B11" s="17">
        <f>B10-B9</f>
      </c>
      <c r="C11" s="19" t="inlineStr">
        <is>
          <t xml:space="preserve">(positif = hemat)</t>
        </is>
      </c>
    </row>
    <row r="12">
</row>
    <row r="13">
      <c r="A13" s="12" t="inlineStr">
        <is>
          <t xml:space="preserve">Dana Total Bahan Pangan</t>
        </is>
      </c>
      <c r="B13" s="16">
        <f>Pengaturan!B8</f>
      </c>
    </row>
    <row r="14">
      <c r="A14" s="12" t="inlineStr">
        <is>
          <t xml:space="preserve">Penggunaan Dana Pangan</t>
        </is>
      </c>
      <c r="B14" s="9">
        <f>'Pengeluaran Pangan'!G115</f>
      </c>
    </row>
    <row r="15">
      <c r="A15" s="12" t="inlineStr">
        <is>
          <t xml:space="preserve">Sisa Dana Pangan</t>
        </is>
      </c>
      <c r="B15" s="17">
        <f>B13-B14</f>
      </c>
    </row>
    <row r="16">
      <c r="A16" s="12" t="inlineStr">
        <is>
          <t xml:space="preserve">% Penggunaan Dana Pangan</t>
        </is>
      </c>
      <c r="B16" s="6">
        <f>IF(B13=0,0,B14/B13)</f>
      </c>
    </row>
    <row r="17">
</row>
    <row r="18">
      <c r="A18" s="20" t="inlineStr">
        <is>
          <t xml:space="preserve">B. PENGELUARAN OPERASIONAL</t>
        </is>
      </c>
    </row>
    <row r="19">
</row>
    <row r="20">
      <c r="A20" s="12" t="inlineStr">
        <is>
          <t xml:space="preserve">Rata-Rata Pengeluaran Operasional / Hari</t>
        </is>
      </c>
      <c r="B20" s="16">
        <f>IFERROR('Pengeluaran Operasional'!G113/Pengaturan!B5,0)</f>
      </c>
    </row>
    <row r="21">
      <c r="A21" s="12" t="inlineStr">
        <is>
          <t xml:space="preserve">Pengeluaran Operasional Seharusnya / Hari</t>
        </is>
      </c>
      <c r="B21" s="16">
        <f>Pengaturan!B14</f>
      </c>
    </row>
    <row r="22">
      <c r="A22" s="12" t="inlineStr">
        <is>
          <t xml:space="preserve">Selisih Pengeluaran Operasional / Hari</t>
        </is>
      </c>
      <c r="B22" s="17">
        <f>B21-B20</f>
      </c>
      <c r="C22" s="19" t="inlineStr">
        <is>
          <t xml:space="preserve">(positif = hemat)</t>
        </is>
      </c>
    </row>
    <row r="23">
</row>
    <row r="24">
      <c r="A24" s="12" t="inlineStr">
        <is>
          <t xml:space="preserve">Dana Total Operasional</t>
        </is>
      </c>
      <c r="B24" s="16">
        <f>Pengaturan!B9</f>
      </c>
    </row>
    <row r="25">
      <c r="A25" s="12" t="inlineStr">
        <is>
          <t xml:space="preserve">Penggunaan Dana Operasional</t>
        </is>
      </c>
      <c r="B25" s="9">
        <f>'Pengeluaran Operasional'!G113</f>
      </c>
    </row>
    <row r="26">
      <c r="A26" s="12" t="inlineStr">
        <is>
          <t xml:space="preserve">Sisa Dana Operasional</t>
        </is>
      </c>
      <c r="B26" s="17">
        <f>B24-B25</f>
      </c>
    </row>
    <row r="27">
      <c r="A27" s="12" t="inlineStr">
        <is>
          <t xml:space="preserve">% Penggunaan Dana Operasional</t>
        </is>
      </c>
      <c r="B27" s="6">
        <f>IF(B24=0,0,B25/B24)</f>
      </c>
    </row>
    <row r="28">
</row>
    <row r="29">
      <c r="A29" s="1" t="inlineStr">
        <is>
          <t xml:space="preserve">C. RINGKASAN TOTAL</t>
        </is>
      </c>
    </row>
    <row r="30">
</row>
    <row r="31">
      <c r="A31" s="12" t="inlineStr">
        <is>
          <t xml:space="preserve">Total Dana Anggaran</t>
        </is>
      </c>
      <c r="B31" s="16">
        <f>B13+B24</f>
      </c>
    </row>
    <row r="32">
      <c r="A32" s="12" t="inlineStr">
        <is>
          <t xml:space="preserve">Total Penggunaan Dana</t>
        </is>
      </c>
      <c r="B32" s="16">
        <f>B14+B25</f>
      </c>
    </row>
    <row r="33">
      <c r="A33" s="12" t="inlineStr">
        <is>
          <t xml:space="preserve">Total Sisa Dana</t>
        </is>
      </c>
      <c r="B33" s="7">
        <f>B31-B32</f>
      </c>
    </row>
    <row r="34">
      <c r="A34" s="12" t="inlineStr">
        <is>
          <t xml:space="preserve">% Penyerapan Anggaran</t>
        </is>
      </c>
      <c r="B34" s="6">
        <f>IF(B31=0,0,B32/B31)</f>
      </c>
    </row>
    <row r="35">
</row>
    <row r="36">
      <c r="A36" s="12" t="inlineStr">
        <is>
          <t xml:space="preserve">Rata-Rata Total Pengeluaran / Hari</t>
        </is>
      </c>
      <c r="B36" s="16">
        <f>B9+B20</f>
      </c>
    </row>
    <row r="37">
      <c r="A37" s="12" t="inlineStr">
        <is>
          <t xml:space="preserve">Target Total Pengeluaran / Hari</t>
        </is>
      </c>
      <c r="B37" s="16">
        <f>Pengaturan!B15</f>
      </c>
    </row>
    <row r="38">
      <c r="A38" s="12" t="inlineStr">
        <is>
          <t xml:space="preserve">Selisih Total / Hari</t>
        </is>
      </c>
      <c r="B38" s="17">
        <f>B37-B36</f>
      </c>
    </row>
    <row r="39">
</row>
    <row r="40">
      <c r="A40" s="12" t="inlineStr">
        <is>
          <t xml:space="preserve">CATATAN:</t>
        </is>
      </c>
    </row>
    <row r="41">
      <c r="A41" s="19" t="inlineStr">
        <is>
          <t xml:space="preserve">- Semua angka otomatis dari sheet Pengeluaran Pangan &amp; Operasional.</t>
        </is>
      </c>
    </row>
    <row r="42">
      <c r="A42" s="19" t="inlineStr">
        <is>
          <t xml:space="preserve">- Edit dana &amp; target harian di sheet 'Pengaturan'.</t>
        </is>
      </c>
    </row>
    <row r="43">
      <c r="A43" s="19" t="inlineStr">
        <is>
          <t xml:space="preserve">- Selisih positif = hemat (di bawah target).</t>
        </is>
      </c>
    </row>
    <row r="44">
      <c r="A44" s="19" t="inlineStr">
        <is>
          <t xml:space="preserve">- Selisih negatif = boros (di atas target).</t>
        </is>
      </c>
    </row>
  </sheetData>
  <mergeCells count="1">
    <mergeCell ref="A1:D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38" customWidth="1"/>
    <col min="2" max="2" width="22" customWidth="1"/>
    <col min="3" max="3" width="30" customWidth="1"/>
  </cols>
  <sheetData>
    <row r="1">
      <c r="A1" s="2" t="inlineStr">
        <is>
          <t xml:space="preserve">PENGATURAN LAPORAN KEUANGAN</t>
        </is>
      </c>
    </row>
    <row r="2">
</row>
    <row r="3">
      <c r="A3" s="12" t="inlineStr">
        <is>
          <t xml:space="preserve">Periode Mulai</t>
        </is>
      </c>
      <c r="B3" s="4">
        <v>46143</v>
      </c>
      <c r="C3" s="19" t="inlineStr">
        <is>
          <t xml:space="preserve">&lt;- edit sesuai periode</t>
        </is>
      </c>
    </row>
    <row r="4">
      <c r="A4" s="12" t="inlineStr">
        <is>
          <t xml:space="preserve">Periode Selesai</t>
        </is>
      </c>
      <c r="B4" s="4">
        <v>46173</v>
      </c>
      <c r="C4" s="19" t="inlineStr">
        <is>
          <t xml:space="preserve">&lt;- edit sesuai periode</t>
        </is>
      </c>
    </row>
    <row r="5">
      <c r="A5" s="12" t="inlineStr">
        <is>
          <t xml:space="preserve">Jumlah Hari Operasi</t>
        </is>
      </c>
      <c r="B5" s="11">
        <f>B4-B3+1</f>
      </c>
      <c r="C5" s="19" t="inlineStr">
        <is>
          <t xml:space="preserve">(otomatis)</t>
        </is>
      </c>
    </row>
    <row r="6">
</row>
    <row r="7">
      <c r="A7" s="13" t="inlineStr">
        <is>
          <t xml:space="preserve">DANA ANGGARAN</t>
        </is>
      </c>
    </row>
    <row r="8">
      <c r="A8" s="12" t="inlineStr">
        <is>
          <t xml:space="preserve">Dana Total Bahan Pangan</t>
        </is>
      </c>
      <c r="B8" s="3">
        <v>60000000</v>
      </c>
      <c r="C8" s="19" t="inlineStr">
        <is>
          <t xml:space="preserve">&lt;- edit dana pangan</t>
        </is>
      </c>
    </row>
    <row r="9">
      <c r="A9" s="12" t="inlineStr">
        <is>
          <t xml:space="preserve">Dana Total Operasional</t>
        </is>
      </c>
      <c r="B9" s="3">
        <v>25000000</v>
      </c>
      <c r="C9" s="19" t="inlineStr">
        <is>
          <t xml:space="preserve">&lt;- edit dana operasional</t>
        </is>
      </c>
    </row>
    <row r="10">
      <c r="A10" s="12" t="inlineStr">
        <is>
          <t xml:space="preserve">Total Dana Keseluruhan</t>
        </is>
      </c>
      <c r="B10" s="7">
        <f>B8+B9</f>
      </c>
    </row>
    <row r="11">
</row>
    <row r="12">
      <c r="A12" s="13" t="inlineStr">
        <is>
          <t xml:space="preserve">TARGET PENGELUARAN / HARI (SEHARUSNYA)</t>
        </is>
      </c>
    </row>
    <row r="13">
      <c r="A13" s="12" t="inlineStr">
        <is>
          <t xml:space="preserve">Target Pengeluaran Pangan/Hari</t>
        </is>
      </c>
      <c r="B13" s="3">
        <f>IF(B5=0,0,B8/B5)</f>
      </c>
      <c r="C13" s="19" t="inlineStr">
        <is>
          <t xml:space="preserve">= Dana Pangan / Jumlah Hari</t>
        </is>
      </c>
    </row>
    <row r="14">
      <c r="A14" s="12" t="inlineStr">
        <is>
          <t xml:space="preserve">Target Pengeluaran Operasional/Hari</t>
        </is>
      </c>
      <c r="B14" s="3">
        <f>IF(B5=0,0,B9/B5)</f>
      </c>
      <c r="C14" s="19" t="inlineStr">
        <is>
          <t xml:space="preserve">= Dana Operasional / Jumlah Hari</t>
        </is>
      </c>
    </row>
    <row r="15">
      <c r="A15" s="12" t="inlineStr">
        <is>
          <t xml:space="preserve">Target Pengeluaran Total/Hari</t>
        </is>
      </c>
      <c r="B15" s="14">
        <f>B13+B14</f>
      </c>
      <c r="C15" s="19" t="inlineStr">
        <is>
          <t xml:space="preserve">= Pangan + Operasional</t>
        </is>
      </c>
    </row>
    <row r="16">
</row>
    <row r="17">
      <c r="A17" s="13" t="inlineStr">
        <is>
          <t xml:space="preserve">INFORMASI ORGANISASI</t>
        </is>
      </c>
    </row>
    <row r="18">
      <c r="A18" s="12" t="inlineStr">
        <is>
          <t xml:space="preserve">Nama Instansi</t>
        </is>
      </c>
      <c r="B18" s="0" t="inlineStr">
        <is>
          <t xml:space="preserve">SPPG Battuwinangun</t>
        </is>
      </c>
    </row>
    <row r="19">
      <c r="A19" s="12" t="inlineStr">
        <is>
          <t xml:space="preserve">Alamat</t>
        </is>
      </c>
      <c r="B19" s="0" t="inlineStr">
        <is>
          <t xml:space="preserve">-</t>
        </is>
      </c>
    </row>
    <row r="20">
      <c r="A20" s="12" t="inlineStr">
        <is>
          <t xml:space="preserve">Penanggung Jawab</t>
        </is>
      </c>
      <c r="B20" s="0" t="inlineStr">
        <is>
          <t xml:space="preserve">-</t>
        </is>
      </c>
    </row>
    <row r="21">
      <c r="A21" s="12" t="inlineStr">
        <is>
          <t xml:space="preserve">Periode Laporan</t>
        </is>
      </c>
      <c r="B21" s="15">
        <f>TEXT(B3,"dd mmm yyyy")&amp;" s/d "&amp;TEXT(B4,"dd mmm yyyy")</f>
      </c>
    </row>
    <row r="22">
</row>
    <row r="23">
      <c r="A23" s="12" t="inlineStr">
        <is>
          <t xml:space="preserve">CATATAN:</t>
        </is>
      </c>
    </row>
    <row r="24">
      <c r="A24" s="19" t="inlineStr">
        <is>
          <t xml:space="preserve">1. Edit nilai di kolom B pada baris yang bertanda &lt;- edit.</t>
        </is>
      </c>
    </row>
    <row r="25">
      <c r="A25" s="19" t="inlineStr">
        <is>
          <t xml:space="preserve">2. Semua sheet lain otomatis mengikuti nilai di sheet ini.</t>
        </is>
      </c>
    </row>
    <row r="26">
      <c r="A26" s="19" t="inlineStr">
        <is>
          <t xml:space="preserve">3. Jangan menghapus baris 3-14 (berisi referensi formula).</t>
        </is>
      </c>
    </row>
  </sheetData>
  <mergeCells count="1">
    <mergeCell ref="A1:C1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14" customWidth="1"/>
    <col min="2" max="2" width="28" customWidth="1"/>
    <col min="3" max="3" width="18" customWidth="1"/>
    <col min="4" max="4" width="8" customWidth="1"/>
    <col min="5" max="5" width="10" customWidth="1"/>
    <col min="6" max="6" width="18" customWidth="1"/>
    <col min="7" max="7" width="18" customWidth="1"/>
    <col min="8" max="8" width="24" customWidth="1"/>
  </cols>
  <sheetData>
    <row r="1">
      <c r="A1" s="2" t="inlineStr">
        <is>
          <t xml:space="preserve">LOG PENGELUARAN BAHAN PANGAN</t>
        </is>
      </c>
    </row>
    <row r="2">
</row>
    <row r="3">
      <c r="A3" s="1" t="inlineStr">
        <is>
          <t xml:space="preserve">Tanggal</t>
        </is>
      </c>
      <c r="B3" s="1" t="inlineStr">
        <is>
          <t xml:space="preserve">Item / Bahan</t>
        </is>
      </c>
      <c r="C3" s="1" t="inlineStr">
        <is>
          <t xml:space="preserve">Kategori</t>
        </is>
      </c>
      <c r="D3" s="1" t="inlineStr">
        <is>
          <t xml:space="preserve">Qty</t>
        </is>
      </c>
      <c r="E3" s="1" t="inlineStr">
        <is>
          <t xml:space="preserve">Satuan</t>
        </is>
      </c>
      <c r="F3" s="1" t="inlineStr">
        <is>
          <t xml:space="preserve">Harga Satuan (Rp)</t>
        </is>
      </c>
      <c r="G3" s="1" t="inlineStr">
        <is>
          <t xml:space="preserve">Jumlah (Rp)</t>
        </is>
      </c>
      <c r="H3" s="1" t="inlineStr">
        <is>
          <t xml:space="preserve">Keterangan</t>
        </is>
      </c>
    </row>
    <row r="4">
      <c r="A4" s="4">
        <v>46143</v>
      </c>
      <c r="B4" s="0" t="inlineStr">
        <is>
          <t xml:space="preserve">Beras premium</t>
        </is>
      </c>
      <c r="C4" s="0" t="inlineStr">
        <is>
          <t xml:space="preserve">Karbohidrat</t>
        </is>
      </c>
      <c r="D4" s="11">
        <v>50</v>
      </c>
      <c r="E4" s="0" t="inlineStr">
        <is>
          <t xml:space="preserve">kg</t>
        </is>
      </c>
      <c r="F4" s="3">
        <v>15000</v>
      </c>
      <c r="G4" s="9">
        <f>D4*F4</f>
      </c>
      <c r="H4" s="0" t="inlineStr">
        <is>
          <t xml:space="preserve">Stok awal bulan</t>
        </is>
      </c>
    </row>
    <row r="5">
      <c r="A5" s="4">
        <v>46143</v>
      </c>
      <c r="B5" s="0" t="inlineStr">
        <is>
          <t xml:space="preserve">Ayam potong</t>
        </is>
      </c>
      <c r="C5" s="0" t="inlineStr">
        <is>
          <t xml:space="preserve">Protein Hewani</t>
        </is>
      </c>
      <c r="D5" s="11">
        <v>20</v>
      </c>
      <c r="E5" s="0" t="inlineStr">
        <is>
          <t xml:space="preserve">kg</t>
        </is>
      </c>
      <c r="F5" s="3">
        <v>38000</v>
      </c>
      <c r="G5" s="9">
        <f>D5*F5</f>
      </c>
      <c r="H5" s="0" t="inlineStr">
        <is>
          <t xml:space="preserve">Menu hari 1</t>
        </is>
      </c>
    </row>
    <row r="6">
      <c r="A6" s="4">
        <v>46144</v>
      </c>
      <c r="B6" s="0" t="inlineStr">
        <is>
          <t xml:space="preserve">Sayur bayam</t>
        </is>
      </c>
      <c r="C6" s="0" t="inlineStr">
        <is>
          <t xml:space="preserve">Sayuran</t>
        </is>
      </c>
      <c r="D6" s="11">
        <v>15</v>
      </c>
      <c r="E6" s="0" t="inlineStr">
        <is>
          <t xml:space="preserve">ikat</t>
        </is>
      </c>
      <c r="F6" s="3">
        <v>3500</v>
      </c>
      <c r="G6" s="9">
        <f>D6*F6</f>
      </c>
    </row>
    <row r="7">
      <c r="A7" s="4">
        <v>46144</v>
      </c>
      <c r="B7" s="0" t="inlineStr">
        <is>
          <t xml:space="preserve">Telur ayam</t>
        </is>
      </c>
      <c r="C7" s="0" t="inlineStr">
        <is>
          <t xml:space="preserve">Protein Hewani</t>
        </is>
      </c>
      <c r="D7" s="11">
        <v>8</v>
      </c>
      <c r="E7" s="0" t="inlineStr">
        <is>
          <t xml:space="preserve">kg</t>
        </is>
      </c>
      <c r="F7" s="3">
        <v>28000</v>
      </c>
      <c r="G7" s="9">
        <f>D7*F7</f>
      </c>
    </row>
    <row r="8">
      <c r="A8" s="4">
        <v>46145</v>
      </c>
      <c r="B8" s="0" t="inlineStr">
        <is>
          <t xml:space="preserve">Ikan nila</t>
        </is>
      </c>
      <c r="C8" s="0" t="inlineStr">
        <is>
          <t xml:space="preserve">Protein Hewani</t>
        </is>
      </c>
      <c r="D8" s="11">
        <v>18</v>
      </c>
      <c r="E8" s="0" t="inlineStr">
        <is>
          <t xml:space="preserve">kg</t>
        </is>
      </c>
      <c r="F8" s="3">
        <v>32000</v>
      </c>
      <c r="G8" s="9">
        <f>D8*F8</f>
      </c>
    </row>
    <row r="9">
      <c r="A9" s="4">
        <v>46145</v>
      </c>
      <c r="B9" s="0" t="inlineStr">
        <is>
          <t xml:space="preserve">Wortel</t>
        </is>
      </c>
      <c r="C9" s="0" t="inlineStr">
        <is>
          <t xml:space="preserve">Sayuran</t>
        </is>
      </c>
      <c r="D9" s="11">
        <v>10</v>
      </c>
      <c r="E9" s="0" t="inlineStr">
        <is>
          <t xml:space="preserve">kg</t>
        </is>
      </c>
      <c r="F9" s="3">
        <v>8000</v>
      </c>
      <c r="G9" s="9">
        <f>D9*F9</f>
      </c>
    </row>
    <row r="10">
      <c r="A10" s="4">
        <v>46146</v>
      </c>
      <c r="B10" s="0" t="inlineStr">
        <is>
          <t xml:space="preserve">Tempe</t>
        </is>
      </c>
      <c r="C10" s="0" t="inlineStr">
        <is>
          <t xml:space="preserve">Protein Nabati</t>
        </is>
      </c>
      <c r="D10" s="11">
        <v>12</v>
      </c>
      <c r="E10" s="0" t="inlineStr">
        <is>
          <t xml:space="preserve">kg</t>
        </is>
      </c>
      <c r="F10" s="3">
        <v>12000</v>
      </c>
      <c r="G10" s="9">
        <f>D10*F10</f>
      </c>
    </row>
    <row r="11">
      <c r="A11" s="4">
        <v>46146</v>
      </c>
      <c r="B11" s="0" t="inlineStr">
        <is>
          <t xml:space="preserve">Minyak goreng</t>
        </is>
      </c>
      <c r="C11" s="0" t="inlineStr">
        <is>
          <t xml:space="preserve">Bumbu</t>
        </is>
      </c>
      <c r="D11" s="11">
        <v>5</v>
      </c>
      <c r="E11" s="0" t="inlineStr">
        <is>
          <t xml:space="preserve">liter</t>
        </is>
      </c>
      <c r="F11" s="3">
        <v>18000</v>
      </c>
      <c r="G11" s="9">
        <f>D11*F11</f>
      </c>
    </row>
    <row r="12">
      <c r="A12" s="4">
        <v>46147</v>
      </c>
      <c r="B12" s="0" t="inlineStr">
        <is>
          <t xml:space="preserve">Buah pisang</t>
        </is>
      </c>
      <c r="C12" s="0" t="inlineStr">
        <is>
          <t xml:space="preserve">Buah</t>
        </is>
      </c>
      <c r="D12" s="11">
        <v>20</v>
      </c>
      <c r="E12" s="0" t="inlineStr">
        <is>
          <t xml:space="preserve">sisir</t>
        </is>
      </c>
      <c r="F12" s="3">
        <v>15000</v>
      </c>
      <c r="G12" s="9">
        <f>D12*F12</f>
      </c>
    </row>
    <row r="13">
      <c r="A13" s="4">
        <v>46147</v>
      </c>
      <c r="B13" s="0" t="inlineStr">
        <is>
          <t xml:space="preserve">Bumbu dapur</t>
        </is>
      </c>
      <c r="C13" s="0" t="inlineStr">
        <is>
          <t xml:space="preserve">Bumbu</t>
        </is>
      </c>
      <c r="D13" s="11">
        <v>1</v>
      </c>
      <c r="E13" s="0" t="inlineStr">
        <is>
          <t xml:space="preserve">paket</t>
        </is>
      </c>
      <c r="F13" s="3">
        <v>150000</v>
      </c>
      <c r="G13" s="9">
        <f>D13*F13</f>
      </c>
      <c r="H13" s="0" t="inlineStr">
        <is>
          <t xml:space="preserve">Bawang, cabe, dll</t>
        </is>
      </c>
    </row>
    <row r="14">
</row>
    <row r="15">
</row>
    <row r="16">
</row>
    <row r="17">
</row>
    <row r="18">
</row>
    <row r="19">
</row>
    <row r="20">
</row>
    <row r="21">
</row>
    <row r="22">
</row>
    <row r="23">
</row>
    <row r="24">
</row>
    <row r="25">
</row>
    <row r="26">
</row>
    <row r="27">
</row>
    <row r="28">
</row>
    <row r="29">
</row>
    <row r="30">
</row>
    <row r="31">
</row>
    <row r="32">
</row>
    <row r="33">
</row>
    <row r="34">
</row>
    <row r="35">
</row>
    <row r="36">
</row>
    <row r="37">
</row>
    <row r="38">
</row>
    <row r="39">
</row>
    <row r="40">
</row>
    <row r="41">
</row>
    <row r="42">
</row>
    <row r="43">
</row>
    <row r="44">
</row>
    <row r="45">
</row>
    <row r="46">
</row>
    <row r="47">
</row>
    <row r="48">
</row>
    <row r="49">
</row>
    <row r="50">
</row>
    <row r="51">
</row>
    <row r="52">
</row>
    <row r="53">
</row>
    <row r="54">
</row>
    <row r="55">
</row>
    <row r="56">
</row>
    <row r="57">
</row>
    <row r="58">
</row>
    <row r="59">
</row>
    <row r="60">
</row>
    <row r="61">
</row>
    <row r="62">
</row>
    <row r="63">
</row>
    <row r="64">
</row>
    <row r="65">
</row>
    <row r="66">
</row>
    <row r="67">
</row>
    <row r="68">
</row>
    <row r="69">
</row>
    <row r="70">
</row>
    <row r="71">
</row>
    <row r="72">
</row>
    <row r="73">
</row>
    <row r="74">
</row>
    <row r="75">
</row>
    <row r="76">
</row>
    <row r="77">
</row>
    <row r="78">
</row>
    <row r="79">
</row>
    <row r="80">
</row>
    <row r="81">
</row>
    <row r="82">
</row>
    <row r="83">
</row>
    <row r="84">
</row>
    <row r="85">
</row>
    <row r="86">
</row>
    <row r="87">
</row>
    <row r="88">
</row>
    <row r="89">
</row>
    <row r="90">
</row>
    <row r="91">
</row>
    <row r="92">
</row>
    <row r="93">
</row>
    <row r="94">
</row>
    <row r="95">
</row>
    <row r="96">
</row>
    <row r="97">
</row>
    <row r="98">
</row>
    <row r="99">
</row>
    <row r="100">
</row>
    <row r="101">
</row>
    <row r="102">
</row>
    <row r="103">
</row>
    <row r="104">
</row>
    <row r="105">
</row>
    <row r="106">
</row>
    <row r="107">
</row>
    <row r="108">
</row>
    <row r="109">
</row>
    <row r="110">
</row>
    <row r="111">
</row>
    <row r="112">
</row>
    <row r="113">
</row>
    <row r="114">
</row>
    <row r="115">
      <c r="F115" s="5" t="inlineStr">
        <is>
          <t xml:space="preserve">TOTAL PENGELUARAN PANGAN</t>
        </is>
      </c>
      <c r="G115" s="7">
        <f>SUM(G4:G113)</f>
      </c>
    </row>
  </sheetData>
  <mergeCells count="1">
    <mergeCell ref="A1:H1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14" customWidth="1"/>
    <col min="2" max="2" width="28" customWidth="1"/>
    <col min="3" max="3" width="18" customWidth="1"/>
    <col min="4" max="4" width="8" customWidth="1"/>
    <col min="5" max="5" width="10" customWidth="1"/>
    <col min="6" max="6" width="18" customWidth="1"/>
    <col min="7" max="7" width="18" customWidth="1"/>
    <col min="8" max="8" width="24" customWidth="1"/>
  </cols>
  <sheetData>
    <row r="1">
      <c r="A1" s="2" t="inlineStr">
        <is>
          <t xml:space="preserve">LOG PENGELUARAN OPERASIONAL</t>
        </is>
      </c>
    </row>
    <row r="2">
</row>
    <row r="3">
      <c r="A3" s="1" t="inlineStr">
        <is>
          <t xml:space="preserve">Tanggal</t>
        </is>
      </c>
      <c r="B3" s="1" t="inlineStr">
        <is>
          <t xml:space="preserve">Deskripsi</t>
        </is>
      </c>
      <c r="C3" s="1" t="inlineStr">
        <is>
          <t xml:space="preserve">Kategori</t>
        </is>
      </c>
      <c r="D3" s="1" t="inlineStr">
        <is>
          <t xml:space="preserve">Qty</t>
        </is>
      </c>
      <c r="E3" s="1" t="inlineStr">
        <is>
          <t xml:space="preserve">Satuan</t>
        </is>
      </c>
      <c r="F3" s="1" t="inlineStr">
        <is>
          <t xml:space="preserve">Harga Satuan (Rp)</t>
        </is>
      </c>
      <c r="G3" s="1" t="inlineStr">
        <is>
          <t xml:space="preserve">Jumlah (Rp)</t>
        </is>
      </c>
      <c r="H3" s="1" t="inlineStr">
        <is>
          <t xml:space="preserve">Keterangan</t>
        </is>
      </c>
    </row>
    <row r="4">
      <c r="A4" s="4">
        <v>46143</v>
      </c>
      <c r="B4" s="0" t="inlineStr">
        <is>
          <t xml:space="preserve">Gas LPG 12kg</t>
        </is>
      </c>
      <c r="C4" s="0" t="inlineStr">
        <is>
          <t xml:space="preserve">Bahan Bakar</t>
        </is>
      </c>
      <c r="D4" s="11">
        <v>2</v>
      </c>
      <c r="E4" s="0" t="inlineStr">
        <is>
          <t xml:space="preserve">tabung</t>
        </is>
      </c>
      <c r="F4" s="3">
        <v>185000</v>
      </c>
      <c r="G4" s="9">
        <f>D4*F4</f>
      </c>
      <c r="H4" s="0" t="inlineStr">
        <is>
          <t xml:space="preserve">Memasak</t>
        </is>
      </c>
    </row>
    <row r="5">
      <c r="A5" s="4">
        <v>46144</v>
      </c>
      <c r="B5" s="0" t="inlineStr">
        <is>
          <t xml:space="preserve">Gaji juru masak</t>
        </is>
      </c>
      <c r="C5" s="0" t="inlineStr">
        <is>
          <t xml:space="preserve">Tenaga Kerja</t>
        </is>
      </c>
      <c r="D5" s="11">
        <v>1</v>
      </c>
      <c r="E5" s="0" t="inlineStr">
        <is>
          <t xml:space="preserve">orang</t>
        </is>
      </c>
      <c r="F5" s="3">
        <v>150000</v>
      </c>
      <c r="G5" s="9">
        <f>D5*F5</f>
      </c>
      <c r="H5" s="0" t="inlineStr">
        <is>
          <t xml:space="preserve">Harian</t>
        </is>
      </c>
    </row>
    <row r="6">
      <c r="A6" s="4">
        <v>46144</v>
      </c>
      <c r="B6" s="0" t="inlineStr">
        <is>
          <t xml:space="preserve">Listrik &amp; air</t>
        </is>
      </c>
      <c r="C6" s="0" t="inlineStr">
        <is>
          <t xml:space="preserve">Utilitas</t>
        </is>
      </c>
      <c r="D6" s="11">
        <v>1</v>
      </c>
      <c r="E6" s="0" t="inlineStr">
        <is>
          <t xml:space="preserve">bulan</t>
        </is>
      </c>
      <c r="F6" s="3">
        <v>450000</v>
      </c>
      <c r="G6" s="9">
        <f>D6*F6</f>
      </c>
    </row>
    <row r="7">
      <c r="A7" s="4">
        <v>46145</v>
      </c>
      <c r="B7" s="0" t="inlineStr">
        <is>
          <t xml:space="preserve">Sabun cuci &amp; pembersih</t>
        </is>
      </c>
      <c r="C7" s="0" t="inlineStr">
        <is>
          <t xml:space="preserve">Sanitasi</t>
        </is>
      </c>
      <c r="D7" s="11">
        <v>5</v>
      </c>
      <c r="E7" s="0" t="inlineStr">
        <is>
          <t xml:space="preserve">pcs</t>
        </is>
      </c>
      <c r="F7" s="3">
        <v>25000</v>
      </c>
      <c r="G7" s="9">
        <f>D7*F7</f>
      </c>
    </row>
    <row r="8">
      <c r="A8" s="4">
        <v>46146</v>
      </c>
      <c r="B8" s="0" t="inlineStr">
        <is>
          <t xml:space="preserve">Kemasan makan</t>
        </is>
      </c>
      <c r="C8" s="0" t="inlineStr">
        <is>
          <t xml:space="preserve">Packaging</t>
        </is>
      </c>
      <c r="D8" s="11">
        <v>200</v>
      </c>
      <c r="E8" s="0" t="inlineStr">
        <is>
          <t xml:space="preserve">pcs</t>
        </is>
      </c>
      <c r="F8" s="3">
        <v>1500</v>
      </c>
      <c r="G8" s="9">
        <f>D8*F8</f>
      </c>
    </row>
    <row r="9">
      <c r="A9" s="4">
        <v>46147</v>
      </c>
      <c r="B9" s="0" t="inlineStr">
        <is>
          <t xml:space="preserve">Transportasi distribusi</t>
        </is>
      </c>
      <c r="C9" s="0" t="inlineStr">
        <is>
          <t xml:space="preserve">Transportasi</t>
        </is>
      </c>
      <c r="D9" s="11">
        <v>1</v>
      </c>
      <c r="E9" s="0" t="inlineStr">
        <is>
          <t xml:space="preserve">trip</t>
        </is>
      </c>
      <c r="F9" s="3">
        <v>120000</v>
      </c>
      <c r="G9" s="9">
        <f>D9*F9</f>
      </c>
    </row>
    <row r="10">
      <c r="A10" s="4">
        <v>46148</v>
      </c>
      <c r="B10" s="0" t="inlineStr">
        <is>
          <t xml:space="preserve">Alat masak (spatula)</t>
        </is>
      </c>
      <c r="C10" s="0" t="inlineStr">
        <is>
          <t xml:space="preserve">Peralatan</t>
        </is>
      </c>
      <c r="D10" s="11">
        <v>3</v>
      </c>
      <c r="E10" s="0" t="inlineStr">
        <is>
          <t xml:space="preserve">pcs</t>
        </is>
      </c>
      <c r="F10" s="3">
        <v>35000</v>
      </c>
      <c r="G10" s="9">
        <f>D10*F10</f>
      </c>
    </row>
    <row r="11">
      <c r="A11" s="4">
        <v>46149</v>
      </c>
      <c r="B11" s="0" t="inlineStr">
        <is>
          <t xml:space="preserve">Perawatan kompor</t>
        </is>
      </c>
      <c r="C11" s="0" t="inlineStr">
        <is>
          <t xml:space="preserve">Pemeliharaan</t>
        </is>
      </c>
      <c r="D11" s="11">
        <v>1</v>
      </c>
      <c r="E11" s="0" t="inlineStr">
        <is>
          <t xml:space="preserve">kali</t>
        </is>
      </c>
      <c r="F11" s="3">
        <v>200000</v>
      </c>
      <c r="G11" s="9">
        <f>D11*F11</f>
      </c>
    </row>
    <row r="12">
</row>
    <row r="13">
</row>
    <row r="14">
</row>
    <row r="15">
</row>
    <row r="16">
</row>
    <row r="17">
</row>
    <row r="18">
</row>
    <row r="19">
</row>
    <row r="20">
</row>
    <row r="21">
</row>
    <row r="22">
</row>
    <row r="23">
</row>
    <row r="24">
</row>
    <row r="25">
</row>
    <row r="26">
</row>
    <row r="27">
</row>
    <row r="28">
</row>
    <row r="29">
</row>
    <row r="30">
</row>
    <row r="31">
</row>
    <row r="32">
</row>
    <row r="33">
</row>
    <row r="34">
</row>
    <row r="35">
</row>
    <row r="36">
</row>
    <row r="37">
</row>
    <row r="38">
</row>
    <row r="39">
</row>
    <row r="40">
</row>
    <row r="41">
</row>
    <row r="42">
</row>
    <row r="43">
</row>
    <row r="44">
</row>
    <row r="45">
</row>
    <row r="46">
</row>
    <row r="47">
</row>
    <row r="48">
</row>
    <row r="49">
</row>
    <row r="50">
</row>
    <row r="51">
</row>
    <row r="52">
</row>
    <row r="53">
</row>
    <row r="54">
</row>
    <row r="55">
</row>
    <row r="56">
</row>
    <row r="57">
</row>
    <row r="58">
</row>
    <row r="59">
</row>
    <row r="60">
</row>
    <row r="61">
</row>
    <row r="62">
</row>
    <row r="63">
</row>
    <row r="64">
</row>
    <row r="65">
</row>
    <row r="66">
</row>
    <row r="67">
</row>
    <row r="68">
</row>
    <row r="69">
</row>
    <row r="70">
</row>
    <row r="71">
</row>
    <row r="72">
</row>
    <row r="73">
</row>
    <row r="74">
</row>
    <row r="75">
</row>
    <row r="76">
</row>
    <row r="77">
</row>
    <row r="78">
</row>
    <row r="79">
</row>
    <row r="80">
</row>
    <row r="81">
</row>
    <row r="82">
</row>
    <row r="83">
</row>
    <row r="84">
</row>
    <row r="85">
</row>
    <row r="86">
</row>
    <row r="87">
</row>
    <row r="88">
</row>
    <row r="89">
</row>
    <row r="90">
</row>
    <row r="91">
</row>
    <row r="92">
</row>
    <row r="93">
</row>
    <row r="94">
</row>
    <row r="95">
</row>
    <row r="96">
</row>
    <row r="97">
</row>
    <row r="98">
</row>
    <row r="99">
</row>
    <row r="100">
</row>
    <row r="101">
</row>
    <row r="102">
</row>
    <row r="103">
</row>
    <row r="104">
</row>
    <row r="105">
</row>
    <row r="106">
</row>
    <row r="107">
</row>
    <row r="108">
</row>
    <row r="109">
</row>
    <row r="110">
</row>
    <row r="111">
</row>
    <row r="112">
</row>
    <row r="113">
      <c r="F113" s="5" t="inlineStr">
        <is>
          <t xml:space="preserve">TOTAL PENGELUARAN OPERASIONAL</t>
        </is>
      </c>
      <c r="G113" s="7">
        <f>SUM(G4:G111)</f>
      </c>
    </row>
  </sheetData>
  <mergeCells count="1">
    <mergeCell ref="A1:H1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5" customWidth="1"/>
    <col min="2" max="2" width="15" customWidth="1"/>
    <col min="3" max="3" width="22" customWidth="1"/>
    <col min="4" max="4" width="20" customWidth="1"/>
    <col min="5" max="5" width="20" customWidth="1"/>
    <col min="6" max="6" width="22" customWidth="1"/>
    <col min="7" max="7" width="22" customWidth="1"/>
    <col min="8" max="8" width="20" customWidth="1"/>
    <col min="9" max="9" width="18" customWidth="1"/>
  </cols>
  <sheetData>
    <row r="1">
      <c r="A1" s="2" t="inlineStr">
        <is>
          <t xml:space="preserve">REKAP HARIAN PENGELUARAN</t>
        </is>
      </c>
    </row>
    <row r="2">
</row>
    <row r="3">
      <c r="A3" s="12" t="inlineStr">
        <is>
          <t xml:space="preserve">Periode:</t>
        </is>
      </c>
      <c r="B3" s="15">
        <f>TEXT(Pengaturan!B3,"dd mmm yyyy")&amp;" s/d "&amp;TEXT(Pengaturan!B4,"dd mmm yyyy")</f>
      </c>
    </row>
    <row r="4">
</row>
    <row r="5">
      <c r="A5" s="1" t="inlineStr">
        <is>
          <t xml:space="preserve">No</t>
        </is>
      </c>
      <c r="B5" s="1" t="inlineStr">
        <is>
          <t xml:space="preserve">Tanggal</t>
        </is>
      </c>
      <c r="C5" s="21" t="inlineStr">
        <is>
          <t xml:space="preserve">Pengeluaran Pangan (Rp)</t>
        </is>
      </c>
      <c r="D5" s="21" t="inlineStr">
        <is>
          <t xml:space="preserve">Target Pangan/Hari</t>
        </is>
      </c>
      <c r="E5" s="21" t="inlineStr">
        <is>
          <t xml:space="preserve">Selisih Pangan (Rp)</t>
        </is>
      </c>
      <c r="F5" s="20" t="inlineStr">
        <is>
          <t xml:space="preserve">Pengeluaran Operasional (Rp)</t>
        </is>
      </c>
      <c r="G5" s="20" t="inlineStr">
        <is>
          <t xml:space="preserve">Target Operasional/Hari</t>
        </is>
      </c>
      <c r="H5" s="20" t="inlineStr">
        <is>
          <t xml:space="preserve">Selisih Operasional (Rp)</t>
        </is>
      </c>
      <c r="I5" s="1" t="inlineStr">
        <is>
          <t xml:space="preserve">Total Hari (Rp)</t>
        </is>
      </c>
    </row>
    <row r="6">
      <c r="A6" s="15">
        <v>1</v>
      </c>
      <c r="B6" s="4">
        <f>IF(Pengaturan!$B$3+0&gt;Pengaturan!$B$4,"",Pengaturan!$B$3+0)</f>
      </c>
      <c r="C6" s="3">
        <f>IF(B6="",0,SUMIF('Pengeluaran Pangan'!A:A,B6,'Pengeluaran Pangan'!G:G))</f>
      </c>
      <c r="D6" s="3">
        <f>IF(B6="",0,Pengaturan!$B$13)</f>
      </c>
      <c r="E6" s="17">
        <f>IF(B6="",0,D6-C6)</f>
      </c>
      <c r="F6" s="3">
        <f>IF(B6="",0,SUMIF('Pengeluaran Operasional'!A:A,B6,'Pengeluaran Operasional'!G:G))</f>
      </c>
      <c r="G6" s="3">
        <f>IF(B6="",0,Pengaturan!$B$14)</f>
      </c>
      <c r="H6" s="17">
        <f>IF(B6="",0,G6-F6)</f>
      </c>
      <c r="I6" s="14">
        <f>C6+F6</f>
      </c>
    </row>
    <row r="7">
      <c r="A7" s="15">
        <v>2</v>
      </c>
      <c r="B7" s="4">
        <f>IF(Pengaturan!$B$3+1&gt;Pengaturan!$B$4,"",Pengaturan!$B$3+1)</f>
      </c>
      <c r="C7" s="3">
        <f>IF(B7="",0,SUMIF('Pengeluaran Pangan'!A:A,B7,'Pengeluaran Pangan'!G:G))</f>
      </c>
      <c r="D7" s="3">
        <f>IF(B7="",0,Pengaturan!$B$13)</f>
      </c>
      <c r="E7" s="17">
        <f>IF(B7="",0,D7-C7)</f>
      </c>
      <c r="F7" s="3">
        <f>IF(B7="",0,SUMIF('Pengeluaran Operasional'!A:A,B7,'Pengeluaran Operasional'!G:G))</f>
      </c>
      <c r="G7" s="3">
        <f>IF(B7="",0,Pengaturan!$B$14)</f>
      </c>
      <c r="H7" s="17">
        <f>IF(B7="",0,G7-F7)</f>
      </c>
      <c r="I7" s="14">
        <f>C7+F7</f>
      </c>
    </row>
    <row r="8">
      <c r="A8" s="15">
        <v>3</v>
      </c>
      <c r="B8" s="4">
        <f>IF(Pengaturan!$B$3+2&gt;Pengaturan!$B$4,"",Pengaturan!$B$3+2)</f>
      </c>
      <c r="C8" s="3">
        <f>IF(B8="",0,SUMIF('Pengeluaran Pangan'!A:A,B8,'Pengeluaran Pangan'!G:G))</f>
      </c>
      <c r="D8" s="3">
        <f>IF(B8="",0,Pengaturan!$B$13)</f>
      </c>
      <c r="E8" s="17">
        <f>IF(B8="",0,D8-C8)</f>
      </c>
      <c r="F8" s="3">
        <f>IF(B8="",0,SUMIF('Pengeluaran Operasional'!A:A,B8,'Pengeluaran Operasional'!G:G))</f>
      </c>
      <c r="G8" s="3">
        <f>IF(B8="",0,Pengaturan!$B$14)</f>
      </c>
      <c r="H8" s="17">
        <f>IF(B8="",0,G8-F8)</f>
      </c>
      <c r="I8" s="14">
        <f>C8+F8</f>
      </c>
    </row>
    <row r="9">
      <c r="A9" s="15">
        <v>4</v>
      </c>
      <c r="B9" s="4">
        <f>IF(Pengaturan!$B$3+3&gt;Pengaturan!$B$4,"",Pengaturan!$B$3+3)</f>
      </c>
      <c r="C9" s="3">
        <f>IF(B9="",0,SUMIF('Pengeluaran Pangan'!A:A,B9,'Pengeluaran Pangan'!G:G))</f>
      </c>
      <c r="D9" s="3">
        <f>IF(B9="",0,Pengaturan!$B$13)</f>
      </c>
      <c r="E9" s="17">
        <f>IF(B9="",0,D9-C9)</f>
      </c>
      <c r="F9" s="3">
        <f>IF(B9="",0,SUMIF('Pengeluaran Operasional'!A:A,B9,'Pengeluaran Operasional'!G:G))</f>
      </c>
      <c r="G9" s="3">
        <f>IF(B9="",0,Pengaturan!$B$14)</f>
      </c>
      <c r="H9" s="17">
        <f>IF(B9="",0,G9-F9)</f>
      </c>
      <c r="I9" s="14">
        <f>C9+F9</f>
      </c>
    </row>
    <row r="10">
      <c r="A10" s="15">
        <v>5</v>
      </c>
      <c r="B10" s="4">
        <f>IF(Pengaturan!$B$3+4&gt;Pengaturan!$B$4,"",Pengaturan!$B$3+4)</f>
      </c>
      <c r="C10" s="3">
        <f>IF(B10="",0,SUMIF('Pengeluaran Pangan'!A:A,B10,'Pengeluaran Pangan'!G:G))</f>
      </c>
      <c r="D10" s="3">
        <f>IF(B10="",0,Pengaturan!$B$13)</f>
      </c>
      <c r="E10" s="17">
        <f>IF(B10="",0,D10-C10)</f>
      </c>
      <c r="F10" s="3">
        <f>IF(B10="",0,SUMIF('Pengeluaran Operasional'!A:A,B10,'Pengeluaran Operasional'!G:G))</f>
      </c>
      <c r="G10" s="3">
        <f>IF(B10="",0,Pengaturan!$B$14)</f>
      </c>
      <c r="H10" s="17">
        <f>IF(B10="",0,G10-F10)</f>
      </c>
      <c r="I10" s="14">
        <f>C10+F10</f>
      </c>
    </row>
    <row r="11">
      <c r="A11" s="15">
        <v>6</v>
      </c>
      <c r="B11" s="4">
        <f>IF(Pengaturan!$B$3+5&gt;Pengaturan!$B$4,"",Pengaturan!$B$3+5)</f>
      </c>
      <c r="C11" s="3">
        <f>IF(B11="",0,SUMIF('Pengeluaran Pangan'!A:A,B11,'Pengeluaran Pangan'!G:G))</f>
      </c>
      <c r="D11" s="3">
        <f>IF(B11="",0,Pengaturan!$B$13)</f>
      </c>
      <c r="E11" s="17">
        <f>IF(B11="",0,D11-C11)</f>
      </c>
      <c r="F11" s="3">
        <f>IF(B11="",0,SUMIF('Pengeluaran Operasional'!A:A,B11,'Pengeluaran Operasional'!G:G))</f>
      </c>
      <c r="G11" s="3">
        <f>IF(B11="",0,Pengaturan!$B$14)</f>
      </c>
      <c r="H11" s="17">
        <f>IF(B11="",0,G11-F11)</f>
      </c>
      <c r="I11" s="14">
        <f>C11+F11</f>
      </c>
    </row>
    <row r="12">
      <c r="A12" s="15">
        <v>7</v>
      </c>
      <c r="B12" s="4">
        <f>IF(Pengaturan!$B$3+6&gt;Pengaturan!$B$4,"",Pengaturan!$B$3+6)</f>
      </c>
      <c r="C12" s="3">
        <f>IF(B12="",0,SUMIF('Pengeluaran Pangan'!A:A,B12,'Pengeluaran Pangan'!G:G))</f>
      </c>
      <c r="D12" s="3">
        <f>IF(B12="",0,Pengaturan!$B$13)</f>
      </c>
      <c r="E12" s="17">
        <f>IF(B12="",0,D12-C12)</f>
      </c>
      <c r="F12" s="3">
        <f>IF(B12="",0,SUMIF('Pengeluaran Operasional'!A:A,B12,'Pengeluaran Operasional'!G:G))</f>
      </c>
      <c r="G12" s="3">
        <f>IF(B12="",0,Pengaturan!$B$14)</f>
      </c>
      <c r="H12" s="17">
        <f>IF(B12="",0,G12-F12)</f>
      </c>
      <c r="I12" s="14">
        <f>C12+F12</f>
      </c>
    </row>
    <row r="13">
      <c r="A13" s="15">
        <v>8</v>
      </c>
      <c r="B13" s="4">
        <f>IF(Pengaturan!$B$3+7&gt;Pengaturan!$B$4,"",Pengaturan!$B$3+7)</f>
      </c>
      <c r="C13" s="3">
        <f>IF(B13="",0,SUMIF('Pengeluaran Pangan'!A:A,B13,'Pengeluaran Pangan'!G:G))</f>
      </c>
      <c r="D13" s="3">
        <f>IF(B13="",0,Pengaturan!$B$13)</f>
      </c>
      <c r="E13" s="17">
        <f>IF(B13="",0,D13-C13)</f>
      </c>
      <c r="F13" s="3">
        <f>IF(B13="",0,SUMIF('Pengeluaran Operasional'!A:A,B13,'Pengeluaran Operasional'!G:G))</f>
      </c>
      <c r="G13" s="3">
        <f>IF(B13="",0,Pengaturan!$B$14)</f>
      </c>
      <c r="H13" s="17">
        <f>IF(B13="",0,G13-F13)</f>
      </c>
      <c r="I13" s="14">
        <f>C13+F13</f>
      </c>
    </row>
    <row r="14">
      <c r="A14" s="15">
        <v>9</v>
      </c>
      <c r="B14" s="4">
        <f>IF(Pengaturan!$B$3+8&gt;Pengaturan!$B$4,"",Pengaturan!$B$3+8)</f>
      </c>
      <c r="C14" s="3">
        <f>IF(B14="",0,SUMIF('Pengeluaran Pangan'!A:A,B14,'Pengeluaran Pangan'!G:G))</f>
      </c>
      <c r="D14" s="3">
        <f>IF(B14="",0,Pengaturan!$B$13)</f>
      </c>
      <c r="E14" s="17">
        <f>IF(B14="",0,D14-C14)</f>
      </c>
      <c r="F14" s="3">
        <f>IF(B14="",0,SUMIF('Pengeluaran Operasional'!A:A,B14,'Pengeluaran Operasional'!G:G))</f>
      </c>
      <c r="G14" s="3">
        <f>IF(B14="",0,Pengaturan!$B$14)</f>
      </c>
      <c r="H14" s="17">
        <f>IF(B14="",0,G14-F14)</f>
      </c>
      <c r="I14" s="14">
        <f>C14+F14</f>
      </c>
    </row>
    <row r="15">
      <c r="A15" s="15">
        <v>10</v>
      </c>
      <c r="B15" s="4">
        <f>IF(Pengaturan!$B$3+9&gt;Pengaturan!$B$4,"",Pengaturan!$B$3+9)</f>
      </c>
      <c r="C15" s="3">
        <f>IF(B15="",0,SUMIF('Pengeluaran Pangan'!A:A,B15,'Pengeluaran Pangan'!G:G))</f>
      </c>
      <c r="D15" s="3">
        <f>IF(B15="",0,Pengaturan!$B$13)</f>
      </c>
      <c r="E15" s="17">
        <f>IF(B15="",0,D15-C15)</f>
      </c>
      <c r="F15" s="3">
        <f>IF(B15="",0,SUMIF('Pengeluaran Operasional'!A:A,B15,'Pengeluaran Operasional'!G:G))</f>
      </c>
      <c r="G15" s="3">
        <f>IF(B15="",0,Pengaturan!$B$14)</f>
      </c>
      <c r="H15" s="17">
        <f>IF(B15="",0,G15-F15)</f>
      </c>
      <c r="I15" s="14">
        <f>C15+F15</f>
      </c>
    </row>
    <row r="16">
      <c r="A16" s="15">
        <v>11</v>
      </c>
      <c r="B16" s="4">
        <f>IF(Pengaturan!$B$3+10&gt;Pengaturan!$B$4,"",Pengaturan!$B$3+10)</f>
      </c>
      <c r="C16" s="3">
        <f>IF(B16="",0,SUMIF('Pengeluaran Pangan'!A:A,B16,'Pengeluaran Pangan'!G:G))</f>
      </c>
      <c r="D16" s="3">
        <f>IF(B16="",0,Pengaturan!$B$13)</f>
      </c>
      <c r="E16" s="17">
        <f>IF(B16="",0,D16-C16)</f>
      </c>
      <c r="F16" s="3">
        <f>IF(B16="",0,SUMIF('Pengeluaran Operasional'!A:A,B16,'Pengeluaran Operasional'!G:G))</f>
      </c>
      <c r="G16" s="3">
        <f>IF(B16="",0,Pengaturan!$B$14)</f>
      </c>
      <c r="H16" s="17">
        <f>IF(B16="",0,G16-F16)</f>
      </c>
      <c r="I16" s="14">
        <f>C16+F16</f>
      </c>
    </row>
    <row r="17">
      <c r="A17" s="15">
        <v>12</v>
      </c>
      <c r="B17" s="4">
        <f>IF(Pengaturan!$B$3+11&gt;Pengaturan!$B$4,"",Pengaturan!$B$3+11)</f>
      </c>
      <c r="C17" s="3">
        <f>IF(B17="",0,SUMIF('Pengeluaran Pangan'!A:A,B17,'Pengeluaran Pangan'!G:G))</f>
      </c>
      <c r="D17" s="3">
        <f>IF(B17="",0,Pengaturan!$B$13)</f>
      </c>
      <c r="E17" s="17">
        <f>IF(B17="",0,D17-C17)</f>
      </c>
      <c r="F17" s="3">
        <f>IF(B17="",0,SUMIF('Pengeluaran Operasional'!A:A,B17,'Pengeluaran Operasional'!G:G))</f>
      </c>
      <c r="G17" s="3">
        <f>IF(B17="",0,Pengaturan!$B$14)</f>
      </c>
      <c r="H17" s="17">
        <f>IF(B17="",0,G17-F17)</f>
      </c>
      <c r="I17" s="14">
        <f>C17+F17</f>
      </c>
    </row>
    <row r="18">
      <c r="A18" s="15">
        <v>13</v>
      </c>
      <c r="B18" s="4">
        <f>IF(Pengaturan!$B$3+12&gt;Pengaturan!$B$4,"",Pengaturan!$B$3+12)</f>
      </c>
      <c r="C18" s="3">
        <f>IF(B18="",0,SUMIF('Pengeluaran Pangan'!A:A,B18,'Pengeluaran Pangan'!G:G))</f>
      </c>
      <c r="D18" s="3">
        <f>IF(B18="",0,Pengaturan!$B$13)</f>
      </c>
      <c r="E18" s="17">
        <f>IF(B18="",0,D18-C18)</f>
      </c>
      <c r="F18" s="3">
        <f>IF(B18="",0,SUMIF('Pengeluaran Operasional'!A:A,B18,'Pengeluaran Operasional'!G:G))</f>
      </c>
      <c r="G18" s="3">
        <f>IF(B18="",0,Pengaturan!$B$14)</f>
      </c>
      <c r="H18" s="17">
        <f>IF(B18="",0,G18-F18)</f>
      </c>
      <c r="I18" s="14">
        <f>C18+F18</f>
      </c>
    </row>
    <row r="19">
      <c r="A19" s="15">
        <v>14</v>
      </c>
      <c r="B19" s="4">
        <f>IF(Pengaturan!$B$3+13&gt;Pengaturan!$B$4,"",Pengaturan!$B$3+13)</f>
      </c>
      <c r="C19" s="3">
        <f>IF(B19="",0,SUMIF('Pengeluaran Pangan'!A:A,B19,'Pengeluaran Pangan'!G:G))</f>
      </c>
      <c r="D19" s="3">
        <f>IF(B19="",0,Pengaturan!$B$13)</f>
      </c>
      <c r="E19" s="17">
        <f>IF(B19="",0,D19-C19)</f>
      </c>
      <c r="F19" s="3">
        <f>IF(B19="",0,SUMIF('Pengeluaran Operasional'!A:A,B19,'Pengeluaran Operasional'!G:G))</f>
      </c>
      <c r="G19" s="3">
        <f>IF(B19="",0,Pengaturan!$B$14)</f>
      </c>
      <c r="H19" s="17">
        <f>IF(B19="",0,G19-F19)</f>
      </c>
      <c r="I19" s="14">
        <f>C19+F19</f>
      </c>
    </row>
    <row r="20">
      <c r="A20" s="15">
        <v>15</v>
      </c>
      <c r="B20" s="4">
        <f>IF(Pengaturan!$B$3+14&gt;Pengaturan!$B$4,"",Pengaturan!$B$3+14)</f>
      </c>
      <c r="C20" s="3">
        <f>IF(B20="",0,SUMIF('Pengeluaran Pangan'!A:A,B20,'Pengeluaran Pangan'!G:G))</f>
      </c>
      <c r="D20" s="3">
        <f>IF(B20="",0,Pengaturan!$B$13)</f>
      </c>
      <c r="E20" s="17">
        <f>IF(B20="",0,D20-C20)</f>
      </c>
      <c r="F20" s="3">
        <f>IF(B20="",0,SUMIF('Pengeluaran Operasional'!A:A,B20,'Pengeluaran Operasional'!G:G))</f>
      </c>
      <c r="G20" s="3">
        <f>IF(B20="",0,Pengaturan!$B$14)</f>
      </c>
      <c r="H20" s="17">
        <f>IF(B20="",0,G20-F20)</f>
      </c>
      <c r="I20" s="14">
        <f>C20+F20</f>
      </c>
    </row>
    <row r="21">
      <c r="A21" s="15">
        <v>16</v>
      </c>
      <c r="B21" s="4">
        <f>IF(Pengaturan!$B$3+15&gt;Pengaturan!$B$4,"",Pengaturan!$B$3+15)</f>
      </c>
      <c r="C21" s="3">
        <f>IF(B21="",0,SUMIF('Pengeluaran Pangan'!A:A,B21,'Pengeluaran Pangan'!G:G))</f>
      </c>
      <c r="D21" s="3">
        <f>IF(B21="",0,Pengaturan!$B$13)</f>
      </c>
      <c r="E21" s="17">
        <f>IF(B21="",0,D21-C21)</f>
      </c>
      <c r="F21" s="3">
        <f>IF(B21="",0,SUMIF('Pengeluaran Operasional'!A:A,B21,'Pengeluaran Operasional'!G:G))</f>
      </c>
      <c r="G21" s="3">
        <f>IF(B21="",0,Pengaturan!$B$14)</f>
      </c>
      <c r="H21" s="17">
        <f>IF(B21="",0,G21-F21)</f>
      </c>
      <c r="I21" s="14">
        <f>C21+F21</f>
      </c>
    </row>
    <row r="22">
      <c r="A22" s="15">
        <v>17</v>
      </c>
      <c r="B22" s="4">
        <f>IF(Pengaturan!$B$3+16&gt;Pengaturan!$B$4,"",Pengaturan!$B$3+16)</f>
      </c>
      <c r="C22" s="3">
        <f>IF(B22="",0,SUMIF('Pengeluaran Pangan'!A:A,B22,'Pengeluaran Pangan'!G:G))</f>
      </c>
      <c r="D22" s="3">
        <f>IF(B22="",0,Pengaturan!$B$13)</f>
      </c>
      <c r="E22" s="17">
        <f>IF(B22="",0,D22-C22)</f>
      </c>
      <c r="F22" s="3">
        <f>IF(B22="",0,SUMIF('Pengeluaran Operasional'!A:A,B22,'Pengeluaran Operasional'!G:G))</f>
      </c>
      <c r="G22" s="3">
        <f>IF(B22="",0,Pengaturan!$B$14)</f>
      </c>
      <c r="H22" s="17">
        <f>IF(B22="",0,G22-F22)</f>
      </c>
      <c r="I22" s="14">
        <f>C22+F22</f>
      </c>
    </row>
    <row r="23">
      <c r="A23" s="15">
        <v>18</v>
      </c>
      <c r="B23" s="4">
        <f>IF(Pengaturan!$B$3+17&gt;Pengaturan!$B$4,"",Pengaturan!$B$3+17)</f>
      </c>
      <c r="C23" s="3">
        <f>IF(B23="",0,SUMIF('Pengeluaran Pangan'!A:A,B23,'Pengeluaran Pangan'!G:G))</f>
      </c>
      <c r="D23" s="3">
        <f>IF(B23="",0,Pengaturan!$B$13)</f>
      </c>
      <c r="E23" s="17">
        <f>IF(B23="",0,D23-C23)</f>
      </c>
      <c r="F23" s="3">
        <f>IF(B23="",0,SUMIF('Pengeluaran Operasional'!A:A,B23,'Pengeluaran Operasional'!G:G))</f>
      </c>
      <c r="G23" s="3">
        <f>IF(B23="",0,Pengaturan!$B$14)</f>
      </c>
      <c r="H23" s="17">
        <f>IF(B23="",0,G23-F23)</f>
      </c>
      <c r="I23" s="14">
        <f>C23+F23</f>
      </c>
    </row>
    <row r="24">
      <c r="A24" s="15">
        <v>19</v>
      </c>
      <c r="B24" s="4">
        <f>IF(Pengaturan!$B$3+18&gt;Pengaturan!$B$4,"",Pengaturan!$B$3+18)</f>
      </c>
      <c r="C24" s="3">
        <f>IF(B24="",0,SUMIF('Pengeluaran Pangan'!A:A,B24,'Pengeluaran Pangan'!G:G))</f>
      </c>
      <c r="D24" s="3">
        <f>IF(B24="",0,Pengaturan!$B$13)</f>
      </c>
      <c r="E24" s="17">
        <f>IF(B24="",0,D24-C24)</f>
      </c>
      <c r="F24" s="3">
        <f>IF(B24="",0,SUMIF('Pengeluaran Operasional'!A:A,B24,'Pengeluaran Operasional'!G:G))</f>
      </c>
      <c r="G24" s="3">
        <f>IF(B24="",0,Pengaturan!$B$14)</f>
      </c>
      <c r="H24" s="17">
        <f>IF(B24="",0,G24-F24)</f>
      </c>
      <c r="I24" s="14">
        <f>C24+F24</f>
      </c>
    </row>
    <row r="25">
      <c r="A25" s="15">
        <v>20</v>
      </c>
      <c r="B25" s="4">
        <f>IF(Pengaturan!$B$3+19&gt;Pengaturan!$B$4,"",Pengaturan!$B$3+19)</f>
      </c>
      <c r="C25" s="3">
        <f>IF(B25="",0,SUMIF('Pengeluaran Pangan'!A:A,B25,'Pengeluaran Pangan'!G:G))</f>
      </c>
      <c r="D25" s="3">
        <f>IF(B25="",0,Pengaturan!$B$13)</f>
      </c>
      <c r="E25" s="17">
        <f>IF(B25="",0,D25-C25)</f>
      </c>
      <c r="F25" s="3">
        <f>IF(B25="",0,SUMIF('Pengeluaran Operasional'!A:A,B25,'Pengeluaran Operasional'!G:G))</f>
      </c>
      <c r="G25" s="3">
        <f>IF(B25="",0,Pengaturan!$B$14)</f>
      </c>
      <c r="H25" s="17">
        <f>IF(B25="",0,G25-F25)</f>
      </c>
      <c r="I25" s="14">
        <f>C25+F25</f>
      </c>
    </row>
    <row r="26">
      <c r="A26" s="15">
        <v>21</v>
      </c>
      <c r="B26" s="4">
        <f>IF(Pengaturan!$B$3+20&gt;Pengaturan!$B$4,"",Pengaturan!$B$3+20)</f>
      </c>
      <c r="C26" s="3">
        <f>IF(B26="",0,SUMIF('Pengeluaran Pangan'!A:A,B26,'Pengeluaran Pangan'!G:G))</f>
      </c>
      <c r="D26" s="3">
        <f>IF(B26="",0,Pengaturan!$B$13)</f>
      </c>
      <c r="E26" s="17">
        <f>IF(B26="",0,D26-C26)</f>
      </c>
      <c r="F26" s="3">
        <f>IF(B26="",0,SUMIF('Pengeluaran Operasional'!A:A,B26,'Pengeluaran Operasional'!G:G))</f>
      </c>
      <c r="G26" s="3">
        <f>IF(B26="",0,Pengaturan!$B$14)</f>
      </c>
      <c r="H26" s="17">
        <f>IF(B26="",0,G26-F26)</f>
      </c>
      <c r="I26" s="14">
        <f>C26+F26</f>
      </c>
    </row>
    <row r="27">
      <c r="A27" s="15">
        <v>22</v>
      </c>
      <c r="B27" s="4">
        <f>IF(Pengaturan!$B$3+21&gt;Pengaturan!$B$4,"",Pengaturan!$B$3+21)</f>
      </c>
      <c r="C27" s="3">
        <f>IF(B27="",0,SUMIF('Pengeluaran Pangan'!A:A,B27,'Pengeluaran Pangan'!G:G))</f>
      </c>
      <c r="D27" s="3">
        <f>IF(B27="",0,Pengaturan!$B$13)</f>
      </c>
      <c r="E27" s="17">
        <f>IF(B27="",0,D27-C27)</f>
      </c>
      <c r="F27" s="3">
        <f>IF(B27="",0,SUMIF('Pengeluaran Operasional'!A:A,B27,'Pengeluaran Operasional'!G:G))</f>
      </c>
      <c r="G27" s="3">
        <f>IF(B27="",0,Pengaturan!$B$14)</f>
      </c>
      <c r="H27" s="17">
        <f>IF(B27="",0,G27-F27)</f>
      </c>
      <c r="I27" s="14">
        <f>C27+F27</f>
      </c>
    </row>
    <row r="28">
      <c r="A28" s="15">
        <v>23</v>
      </c>
      <c r="B28" s="4">
        <f>IF(Pengaturan!$B$3+22&gt;Pengaturan!$B$4,"",Pengaturan!$B$3+22)</f>
      </c>
      <c r="C28" s="3">
        <f>IF(B28="",0,SUMIF('Pengeluaran Pangan'!A:A,B28,'Pengeluaran Pangan'!G:G))</f>
      </c>
      <c r="D28" s="3">
        <f>IF(B28="",0,Pengaturan!$B$13)</f>
      </c>
      <c r="E28" s="17">
        <f>IF(B28="",0,D28-C28)</f>
      </c>
      <c r="F28" s="3">
        <f>IF(B28="",0,SUMIF('Pengeluaran Operasional'!A:A,B28,'Pengeluaran Operasional'!G:G))</f>
      </c>
      <c r="G28" s="3">
        <f>IF(B28="",0,Pengaturan!$B$14)</f>
      </c>
      <c r="H28" s="17">
        <f>IF(B28="",0,G28-F28)</f>
      </c>
      <c r="I28" s="14">
        <f>C28+F28</f>
      </c>
    </row>
    <row r="29">
      <c r="A29" s="15">
        <v>24</v>
      </c>
      <c r="B29" s="4">
        <f>IF(Pengaturan!$B$3+23&gt;Pengaturan!$B$4,"",Pengaturan!$B$3+23)</f>
      </c>
      <c r="C29" s="3">
        <f>IF(B29="",0,SUMIF('Pengeluaran Pangan'!A:A,B29,'Pengeluaran Pangan'!G:G))</f>
      </c>
      <c r="D29" s="3">
        <f>IF(B29="",0,Pengaturan!$B$13)</f>
      </c>
      <c r="E29" s="17">
        <f>IF(B29="",0,D29-C29)</f>
      </c>
      <c r="F29" s="3">
        <f>IF(B29="",0,SUMIF('Pengeluaran Operasional'!A:A,B29,'Pengeluaran Operasional'!G:G))</f>
      </c>
      <c r="G29" s="3">
        <f>IF(B29="",0,Pengaturan!$B$14)</f>
      </c>
      <c r="H29" s="17">
        <f>IF(B29="",0,G29-F29)</f>
      </c>
      <c r="I29" s="14">
        <f>C29+F29</f>
      </c>
    </row>
    <row r="30">
      <c r="A30" s="15">
        <v>25</v>
      </c>
      <c r="B30" s="4">
        <f>IF(Pengaturan!$B$3+24&gt;Pengaturan!$B$4,"",Pengaturan!$B$3+24)</f>
      </c>
      <c r="C30" s="3">
        <f>IF(B30="",0,SUMIF('Pengeluaran Pangan'!A:A,B30,'Pengeluaran Pangan'!G:G))</f>
      </c>
      <c r="D30" s="3">
        <f>IF(B30="",0,Pengaturan!$B$13)</f>
      </c>
      <c r="E30" s="17">
        <f>IF(B30="",0,D30-C30)</f>
      </c>
      <c r="F30" s="3">
        <f>IF(B30="",0,SUMIF('Pengeluaran Operasional'!A:A,B30,'Pengeluaran Operasional'!G:G))</f>
      </c>
      <c r="G30" s="3">
        <f>IF(B30="",0,Pengaturan!$B$14)</f>
      </c>
      <c r="H30" s="17">
        <f>IF(B30="",0,G30-F30)</f>
      </c>
      <c r="I30" s="14">
        <f>C30+F30</f>
      </c>
    </row>
    <row r="31">
      <c r="A31" s="15">
        <v>26</v>
      </c>
      <c r="B31" s="4">
        <f>IF(Pengaturan!$B$3+25&gt;Pengaturan!$B$4,"",Pengaturan!$B$3+25)</f>
      </c>
      <c r="C31" s="3">
        <f>IF(B31="",0,SUMIF('Pengeluaran Pangan'!A:A,B31,'Pengeluaran Pangan'!G:G))</f>
      </c>
      <c r="D31" s="3">
        <f>IF(B31="",0,Pengaturan!$B$13)</f>
      </c>
      <c r="E31" s="17">
        <f>IF(B31="",0,D31-C31)</f>
      </c>
      <c r="F31" s="3">
        <f>IF(B31="",0,SUMIF('Pengeluaran Operasional'!A:A,B31,'Pengeluaran Operasional'!G:G))</f>
      </c>
      <c r="G31" s="3">
        <f>IF(B31="",0,Pengaturan!$B$14)</f>
      </c>
      <c r="H31" s="17">
        <f>IF(B31="",0,G31-F31)</f>
      </c>
      <c r="I31" s="14">
        <f>C31+F31</f>
      </c>
    </row>
    <row r="32">
      <c r="A32" s="15">
        <v>27</v>
      </c>
      <c r="B32" s="4">
        <f>IF(Pengaturan!$B$3+26&gt;Pengaturan!$B$4,"",Pengaturan!$B$3+26)</f>
      </c>
      <c r="C32" s="3">
        <f>IF(B32="",0,SUMIF('Pengeluaran Pangan'!A:A,B32,'Pengeluaran Pangan'!G:G))</f>
      </c>
      <c r="D32" s="3">
        <f>IF(B32="",0,Pengaturan!$B$13)</f>
      </c>
      <c r="E32" s="17">
        <f>IF(B32="",0,D32-C32)</f>
      </c>
      <c r="F32" s="3">
        <f>IF(B32="",0,SUMIF('Pengeluaran Operasional'!A:A,B32,'Pengeluaran Operasional'!G:G))</f>
      </c>
      <c r="G32" s="3">
        <f>IF(B32="",0,Pengaturan!$B$14)</f>
      </c>
      <c r="H32" s="17">
        <f>IF(B32="",0,G32-F32)</f>
      </c>
      <c r="I32" s="14">
        <f>C32+F32</f>
      </c>
    </row>
    <row r="33">
      <c r="A33" s="15">
        <v>28</v>
      </c>
      <c r="B33" s="4">
        <f>IF(Pengaturan!$B$3+27&gt;Pengaturan!$B$4,"",Pengaturan!$B$3+27)</f>
      </c>
      <c r="C33" s="3">
        <f>IF(B33="",0,SUMIF('Pengeluaran Pangan'!A:A,B33,'Pengeluaran Pangan'!G:G))</f>
      </c>
      <c r="D33" s="3">
        <f>IF(B33="",0,Pengaturan!$B$13)</f>
      </c>
      <c r="E33" s="17">
        <f>IF(B33="",0,D33-C33)</f>
      </c>
      <c r="F33" s="3">
        <f>IF(B33="",0,SUMIF('Pengeluaran Operasional'!A:A,B33,'Pengeluaran Operasional'!G:G))</f>
      </c>
      <c r="G33" s="3">
        <f>IF(B33="",0,Pengaturan!$B$14)</f>
      </c>
      <c r="H33" s="17">
        <f>IF(B33="",0,G33-F33)</f>
      </c>
      <c r="I33" s="14">
        <f>C33+F33</f>
      </c>
    </row>
    <row r="34">
      <c r="A34" s="15">
        <v>29</v>
      </c>
      <c r="B34" s="4">
        <f>IF(Pengaturan!$B$3+28&gt;Pengaturan!$B$4,"",Pengaturan!$B$3+28)</f>
      </c>
      <c r="C34" s="3">
        <f>IF(B34="",0,SUMIF('Pengeluaran Pangan'!A:A,B34,'Pengeluaran Pangan'!G:G))</f>
      </c>
      <c r="D34" s="3">
        <f>IF(B34="",0,Pengaturan!$B$13)</f>
      </c>
      <c r="E34" s="17">
        <f>IF(B34="",0,D34-C34)</f>
      </c>
      <c r="F34" s="3">
        <f>IF(B34="",0,SUMIF('Pengeluaran Operasional'!A:A,B34,'Pengeluaran Operasional'!G:G))</f>
      </c>
      <c r="G34" s="3">
        <f>IF(B34="",0,Pengaturan!$B$14)</f>
      </c>
      <c r="H34" s="17">
        <f>IF(B34="",0,G34-F34)</f>
      </c>
      <c r="I34" s="14">
        <f>C34+F34</f>
      </c>
    </row>
    <row r="35">
      <c r="A35" s="15">
        <v>30</v>
      </c>
      <c r="B35" s="4">
        <f>IF(Pengaturan!$B$3+29&gt;Pengaturan!$B$4,"",Pengaturan!$B$3+29)</f>
      </c>
      <c r="C35" s="3">
        <f>IF(B35="",0,SUMIF('Pengeluaran Pangan'!A:A,B35,'Pengeluaran Pangan'!G:G))</f>
      </c>
      <c r="D35" s="3">
        <f>IF(B35="",0,Pengaturan!$B$13)</f>
      </c>
      <c r="E35" s="17">
        <f>IF(B35="",0,D35-C35)</f>
      </c>
      <c r="F35" s="3">
        <f>IF(B35="",0,SUMIF('Pengeluaran Operasional'!A:A,B35,'Pengeluaran Operasional'!G:G))</f>
      </c>
      <c r="G35" s="3">
        <f>IF(B35="",0,Pengaturan!$B$14)</f>
      </c>
      <c r="H35" s="17">
        <f>IF(B35="",0,G35-F35)</f>
      </c>
      <c r="I35" s="14">
        <f>C35+F35</f>
      </c>
    </row>
    <row r="36">
      <c r="A36" s="15">
        <v>31</v>
      </c>
      <c r="B36" s="4">
        <f>IF(Pengaturan!$B$3+30&gt;Pengaturan!$B$4,"",Pengaturan!$B$3+30)</f>
      </c>
      <c r="C36" s="3">
        <f>IF(B36="",0,SUMIF('Pengeluaran Pangan'!A:A,B36,'Pengeluaran Pangan'!G:G))</f>
      </c>
      <c r="D36" s="3">
        <f>IF(B36="",0,Pengaturan!$B$13)</f>
      </c>
      <c r="E36" s="17">
        <f>IF(B36="",0,D36-C36)</f>
      </c>
      <c r="F36" s="3">
        <f>IF(B36="",0,SUMIF('Pengeluaran Operasional'!A:A,B36,'Pengeluaran Operasional'!G:G))</f>
      </c>
      <c r="G36" s="3">
        <f>IF(B36="",0,Pengaturan!$B$14)</f>
      </c>
      <c r="H36" s="17">
        <f>IF(B36="",0,G36-F36)</f>
      </c>
      <c r="I36" s="14">
        <f>C36+F36</f>
      </c>
    </row>
    <row r="37">
</row>
    <row r="38">
      <c r="B38" s="5" t="inlineStr">
        <is>
          <t xml:space="preserve">TOTAL</t>
        </is>
      </c>
      <c r="C38" s="7">
        <f>SUM(C6:C36)</f>
      </c>
      <c r="D38" s="7">
        <f>SUM(D6:D36)</f>
      </c>
      <c r="E38" s="7">
        <f>SUM(E6:E36)</f>
      </c>
      <c r="F38" s="7">
        <f>SUM(F6:F36)</f>
      </c>
      <c r="G38" s="7">
        <f>SUM(G6:G36)</f>
      </c>
      <c r="H38" s="7">
        <f>SUM(H6:H36)</f>
      </c>
      <c r="I38" s="7">
        <f>SUM(I6:I36)</f>
      </c>
    </row>
    <row r="39">
      <c r="B39" s="5" t="inlineStr">
        <is>
          <t xml:space="preserve">RATA-RATA</t>
        </is>
      </c>
      <c r="C39" s="7">
        <f>IFERROR(AVERAGEIF(B6:B36,"&lt;&gt;",C6:C36),0)</f>
      </c>
      <c r="D39" s="7">
        <f>Pengaturan!$B$13</f>
      </c>
      <c r="E39" s="7">
        <f>IFERROR(AVERAGEIF(B6:B36,"&lt;&gt;",E6:E36),0)</f>
      </c>
      <c r="F39" s="7">
        <f>IFERROR(AVERAGEIF(B6:B36,"&lt;&gt;",F6:F36),0)</f>
      </c>
      <c r="G39" s="7">
        <f>Pengaturan!$B$14</f>
      </c>
      <c r="H39" s="7">
        <f>IFERROR(AVERAGEIF(B6:B36,"&lt;&gt;",H6:H36),0)</f>
      </c>
      <c r="I39" s="7">
        <f>IFERROR(AVERAGEIF(B6:B36,"&lt;&gt;",I6:I36),0)</f>
      </c>
    </row>
  </sheetData>
  <mergeCells count="1">
    <mergeCell ref="A1:I1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28" customWidth="1"/>
    <col min="2" max="2" width="22" customWidth="1"/>
    <col min="3" max="3" width="22" customWidth="1"/>
    <col min="4" max="4" width="22" customWidth="1"/>
  </cols>
  <sheetData>
    <row r="1">
      <c r="A1" s="2" t="inlineStr">
        <is>
          <t xml:space="preserve">VISUALISASI KEUANGAN</t>
        </is>
      </c>
    </row>
    <row r="2">
</row>
    <row r="3">
      <c r="A3" s="13" t="inlineStr">
        <is>
          <t xml:space="preserve">1. Data Perbandingan Anggaran vs Realisasi</t>
        </is>
      </c>
    </row>
    <row r="4">
      <c r="A4" s="1" t="inlineStr">
        <is>
          <t xml:space="preserve">Kategori</t>
        </is>
      </c>
      <c r="B4" s="1" t="inlineStr">
        <is>
          <t xml:space="preserve">Dana Total (Rp)</t>
        </is>
      </c>
      <c r="C4" s="1" t="inlineStr">
        <is>
          <t xml:space="preserve">Terpakai (Rp)</t>
        </is>
      </c>
      <c r="D4" s="1" t="inlineStr">
        <is>
          <t xml:space="preserve">Sisa (Rp)</t>
        </is>
      </c>
    </row>
    <row r="5">
      <c r="A5" s="0" t="inlineStr">
        <is>
          <t xml:space="preserve">Bahan Pangan</t>
        </is>
      </c>
      <c r="B5" s="3">
        <f>Pengaturan!B8</f>
      </c>
      <c r="C5" s="3">
        <f>Dashboard!B14</f>
      </c>
      <c r="D5" s="3">
        <f>B5-C5</f>
      </c>
    </row>
    <row r="6">
      <c r="A6" s="0" t="inlineStr">
        <is>
          <t xml:space="preserve">Operasional</t>
        </is>
      </c>
      <c r="B6" s="3">
        <f>Pengaturan!B9</f>
      </c>
      <c r="C6" s="3">
        <f>Dashboard!B25</f>
      </c>
      <c r="D6" s="3">
        <f>B6-C6</f>
      </c>
    </row>
    <row r="7">
</row>
    <row r="8">
      <c r="A8" s="13" t="inlineStr">
        <is>
          <t xml:space="preserve">2. Data Rata-Rata Pengeluaran vs Target Harian</t>
        </is>
      </c>
    </row>
    <row r="9">
      <c r="A9" s="1" t="inlineStr">
        <is>
          <t xml:space="preserve">Kategori</t>
        </is>
      </c>
      <c r="B9" s="1" t="inlineStr">
        <is>
          <t xml:space="preserve">Rata-Rata Aktual/Hari</t>
        </is>
      </c>
      <c r="C9" s="1" t="inlineStr">
        <is>
          <t xml:space="preserve">Target/Hari</t>
        </is>
      </c>
      <c r="D9" s="1" t="inlineStr">
        <is>
          <t xml:space="preserve">Selisih/Hari</t>
        </is>
      </c>
    </row>
    <row r="10">
      <c r="A10" s="0" t="inlineStr">
        <is>
          <t xml:space="preserve">Bahan Pangan</t>
        </is>
      </c>
      <c r="B10" s="3">
        <f>Dashboard!B9</f>
      </c>
      <c r="C10" s="3">
        <f>Dashboard!B10</f>
      </c>
      <c r="D10" s="17">
        <f>C10-B10</f>
      </c>
    </row>
    <row r="11">
      <c r="A11" s="0" t="inlineStr">
        <is>
          <t xml:space="preserve">Operasional</t>
        </is>
      </c>
      <c r="B11" s="3">
        <f>Dashboard!B20</f>
      </c>
      <c r="C11" s="3">
        <f>Dashboard!B21</f>
      </c>
      <c r="D11" s="17">
        <f>C11-B11</f>
      </c>
    </row>
    <row r="12">
</row>
    <row r="13">
      <c r="A13" s="13" t="inlineStr">
        <is>
          <t xml:space="preserve">3. Komposisi Pengeluaran</t>
        </is>
      </c>
    </row>
    <row r="14">
      <c r="A14" s="1" t="inlineStr">
        <is>
          <t xml:space="preserve">Kategori</t>
        </is>
      </c>
      <c r="B14" s="1" t="inlineStr">
        <is>
          <t xml:space="preserve">Jumlah (Rp)</t>
        </is>
      </c>
      <c r="C14" s="1" t="inlineStr">
        <is>
          <t xml:space="preserve">Persentase</t>
        </is>
      </c>
    </row>
    <row r="15">
      <c r="A15" s="0" t="inlineStr">
        <is>
          <t xml:space="preserve">Bahan Pangan</t>
        </is>
      </c>
      <c r="B15" s="3">
        <f>Dashboard!B14</f>
      </c>
      <c r="C15" s="6">
        <f>IF(Dashboard!B32=0,0,B15/Dashboard!B32)</f>
      </c>
    </row>
    <row r="16">
      <c r="A16" s="0" t="inlineStr">
        <is>
          <t xml:space="preserve">Operasional</t>
        </is>
      </c>
      <c r="B16" s="3">
        <f>Dashboard!B25</f>
      </c>
      <c r="C16" s="6">
        <f>IF(Dashboard!B32=0,0,B16/Dashboard!B32)</f>
      </c>
    </row>
    <row r="17">
      <c r="A17" s="5" t="inlineStr">
        <is>
          <t xml:space="preserve">TOTAL</t>
        </is>
      </c>
      <c r="B17" s="7">
        <f>SUM(B15:B16)</f>
      </c>
      <c r="C17" s="7">
        <f>SUM(C15:C16)</f>
      </c>
    </row>
    <row r="18">
</row>
    <row r="19">
</row>
    <row r="20">
      <c r="A20" s="12" t="inlineStr">
        <is>
          <t xml:space="preserve">Grafik akan ditampilkan di sebelah kanan tabel ini:</t>
        </is>
      </c>
    </row>
    <row r="21">
      <c r="A21" s="19" t="inlineStr">
        <is>
          <t xml:space="preserve">- Bar Chart: Anggaran vs Realisasi (A5:D6)</t>
        </is>
      </c>
    </row>
    <row r="22">
      <c r="A22" s="19" t="inlineStr">
        <is>
          <t xml:space="preserve">- Bar Chart: Rata-Rata vs Target Harian (A10:C11)</t>
        </is>
      </c>
    </row>
    <row r="23">
      <c r="A23" s="19" t="inlineStr">
        <is>
          <t xml:space="preserve">- Pie Chart: Komposisi Pengeluaran (A15:B16)</t>
        </is>
      </c>
    </row>
  </sheetData>
  <mergeCells count="1">
    <mergeCell ref="A1:D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selection activeCell="A1" sqref="A1"/>
    </sheetView>
  </sheetViews>
  <sheetFormatPr defaultRowHeight="16"/>
  <cols>
    <col min="1" max="1" width="28" customWidth="1"/>
    <col min="2" max="2" width="28" customWidth="1"/>
  </cols>
  <sheetData>
    <row r="1">
      <c r="A1" s="2" t="inlineStr">
        <is>
          <t xml:space="preserve">DAFTAR KATEGORI (REFERENSI)</t>
        </is>
      </c>
    </row>
    <row r="2">
</row>
    <row r="3">
      <c r="A3" s="1" t="inlineStr">
        <is>
          <t xml:space="preserve">Kategori Bahan Pangan</t>
        </is>
      </c>
      <c r="B3" s="1" t="inlineStr">
        <is>
          <t xml:space="preserve">Kategori Operasional</t>
        </is>
      </c>
    </row>
    <row r="4">
      <c r="A4" s="0" t="inlineStr">
        <is>
          <t xml:space="preserve">Karbohidrat</t>
        </is>
      </c>
      <c r="B4" s="0" t="inlineStr">
        <is>
          <t xml:space="preserve">Bahan Bakar</t>
        </is>
      </c>
    </row>
    <row r="5">
      <c r="A5" s="0" t="inlineStr">
        <is>
          <t xml:space="preserve">Protein Hewani</t>
        </is>
      </c>
      <c r="B5" s="0" t="inlineStr">
        <is>
          <t xml:space="preserve">Tenaga Kerja</t>
        </is>
      </c>
    </row>
    <row r="6">
      <c r="A6" s="0" t="inlineStr">
        <is>
          <t xml:space="preserve">Protein Nabati</t>
        </is>
      </c>
      <c r="B6" s="0" t="inlineStr">
        <is>
          <t xml:space="preserve">Utilitas</t>
        </is>
      </c>
    </row>
    <row r="7">
      <c r="A7" s="0" t="inlineStr">
        <is>
          <t xml:space="preserve">Sayuran</t>
        </is>
      </c>
      <c r="B7" s="0" t="inlineStr">
        <is>
          <t xml:space="preserve">Sanitasi</t>
        </is>
      </c>
    </row>
    <row r="8">
      <c r="A8" s="0" t="inlineStr">
        <is>
          <t xml:space="preserve">Buah</t>
        </is>
      </c>
      <c r="B8" s="0" t="inlineStr">
        <is>
          <t xml:space="preserve">Packaging</t>
        </is>
      </c>
    </row>
    <row r="9">
      <c r="A9" s="0" t="inlineStr">
        <is>
          <t xml:space="preserve">Susu &amp; Olahan</t>
        </is>
      </c>
      <c r="B9" s="0" t="inlineStr">
        <is>
          <t xml:space="preserve">Transportasi</t>
        </is>
      </c>
    </row>
    <row r="10">
      <c r="A10" s="0" t="inlineStr">
        <is>
          <t xml:space="preserve">Bumbu</t>
        </is>
      </c>
      <c r="B10" s="0" t="inlineStr">
        <is>
          <t xml:space="preserve">Peralatan</t>
        </is>
      </c>
    </row>
    <row r="11">
      <c r="A11" s="0" t="inlineStr">
        <is>
          <t xml:space="preserve">Minuman</t>
        </is>
      </c>
      <c r="B11" s="0" t="inlineStr">
        <is>
          <t xml:space="preserve">Pemeliharaan</t>
        </is>
      </c>
    </row>
    <row r="12">
      <c r="A12" s="0" t="inlineStr">
        <is>
          <t xml:space="preserve">Lain-lain</t>
        </is>
      </c>
      <c r="B12" s="0" t="inlineStr">
        <is>
          <t xml:space="preserve">Administrasi</t>
        </is>
      </c>
    </row>
    <row r="13">
      <c r="B13" s="0" t="inlineStr">
        <is>
          <t xml:space="preserve">Lain-lain</t>
        </is>
      </c>
    </row>
  </sheetData>
  <mergeCells count="1">
    <mergeCell ref="A1:B1"/>
  </mergeCells>
</worksheet>
</file>