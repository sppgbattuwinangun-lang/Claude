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Pemasukan" sheetId="2" r:id="rId2"/>
    <sheet name="Pengeluaran" sheetId="3" r:id="rId3"/>
    <sheet name="Anggaran" sheetId="4" r:id="rId4"/>
    <sheet name="Kategori" sheetId="5" r:id="rId5"/>
  </sheets>
</workbook>
</file>

<file path=xl/styles.xml><?xml version="1.0" encoding="utf-8"?>
<styleSheet xmlns="http://schemas.openxmlformats.org/spreadsheetml/2006/main">
  <numFmts count="3">
    <numFmt numFmtId="164" formatCode="&quot;Rp&quot;\ #,##0;[Red]&quot;Rp&quot;\ \-#,##0"/>
    <numFmt numFmtId="165" formatCode="dd\ mmm\ yyyy"/>
    <numFmt numFmtId="166" formatCode="0.0%"/>
  </numFmts>
  <fonts count="6">
    <font>
      <sz val="11"/>
      <name val="Calibr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name val="Calibri"/>
    </font>
    <font>
      <sz val="11"/>
      <color rgb="FFC00000"/>
      <name val="Calibri"/>
    </font>
    <font>
      <sz val="11"/>
      <color rgb="FF0061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xfId="0"/>
    <!-- 0 default -->
    <xf numFmtId="0" fontId="1" fillId="2" borderId="1" xfId="0" applyFont="1" applyFill="1" applyBorder="1" applyAlignment="1">
      <alignment horizontal="center" vertical="center"/>
    </xf>
    <!-- 1 header -->
    <xf numFmtId="0" fontId="2" fillId="0" borderId="0" xfId="0" applyFont="1" applyAlignment="1">
      <alignment horizontal="center"/>
    </xf>
    <!-- 2 title -->
    <xf numFmtId="164" fontId="0" fillId="0" borderId="1" xfId="0" applyNumberFormat="1" applyBorder="1"/>
    <!-- 3 currency -->
    <xf numFmtId="165" fontId="0" fillId="0" borderId="1" xfId="0" applyNumberFormat="1" applyBorder="1" applyAlignment="1">
      <alignment horizontal="center"/>
    </xf>
    <!-- 4 date -->
    <xf numFmtId="0" fontId="3" fillId="3" borderId="1" xfId="0" applyFont="1" applyFill="1" applyBorder="1"/>
    <!-- 5 sub-header -->
    <xf numFmtId="166" fontId="0" fillId="0" borderId="1" xfId="0" applyNumberFormat="1" applyBorder="1" applyAlignment="1">
      <alignment horizontal="center"/>
    </xf>
    <!-- 6 percent -->
    <xf numFmtId="164" fontId="3" fillId="4" borderId="1" xfId="0" applyNumberFormat="1" applyFont="1" applyFill="1" applyBorder="1"/>
    <!-- 7 total currency -->
    <xf numFmtId="0" fontId="0" fillId="0" borderId="1" xfId="0" applyBorder="1" applyAlignment="1">
      <alignment horizontal="center" wrapText="1"/>
    </xf>
    <!-- 8 text wrap center -->
    <xf numFmtId="164" fontId="4" fillId="0" borderId="1" xfId="0" applyNumberFormat="1" applyFont="1" applyBorder="1"/>
    <!-- 9 currency merah -->
    <xf numFmtId="164" fontId="5" fillId="0" borderId="1" xfId="0" applyNumberFormat="1" applyFont="1" applyBorder="1"/>
    <!-- 10 currency hijau --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8" customWidth="1"/>
    <col min="2" max="2" width="22" customWidth="1"/>
  </cols>
  <sheetData>
    <row r="1">
      <c r="A1" s="2" t="inlineStr">
        <is>
          <t xml:space="preserve">DASHBOARD KEUANGAN</t>
        </is>
      </c>
    </row>
    <row r="2">
</row>
    <row r="3">
      <c r="A3" s="5" t="inlineStr">
        <is>
          <t xml:space="preserve">Periode</t>
        </is>
      </c>
      <c r="B3" s="0" t="inlineStr">
        <is>
          <t xml:space="preserve">Mei 2026</t>
        </is>
      </c>
    </row>
    <row r="4">
</row>
    <row r="5">
      <c r="A5" s="1" t="inlineStr">
        <is>
          <t xml:space="preserve">Ringkasan</t>
        </is>
      </c>
      <c r="B5" s="1" t="inlineStr">
        <is>
          <t xml:space="preserve">Jumlah (Rp)</t>
        </is>
      </c>
    </row>
    <row r="6">
      <c r="A6" s="0" t="inlineStr">
        <is>
          <t xml:space="preserve">Total Pemasukan</t>
        </is>
      </c>
      <c r="B6" s="10">
        <f>SUM(Pemasukan!E:E)</f>
      </c>
    </row>
    <row r="7">
      <c r="A7" s="0" t="inlineStr">
        <is>
          <t xml:space="preserve">Total Pengeluaran</t>
        </is>
      </c>
      <c r="B7" s="9">
        <f>SUM(Pengeluaran!E:E)</f>
      </c>
    </row>
    <row r="8">
      <c r="A8" s="5" t="inlineStr">
        <is>
          <t xml:space="preserve">SALDO AKHIR</t>
        </is>
      </c>
      <c r="B8" s="7">
        <f>B6-B7</f>
      </c>
    </row>
    <row r="9">
</row>
    <row r="10">
      <c r="A10" s="1" t="inlineStr">
        <is>
          <t xml:space="preserve">Anggaran</t>
        </is>
      </c>
      <c r="B10" s="1" t="inlineStr">
        <is>
          <t xml:space="preserve">Jumlah (Rp)</t>
        </is>
      </c>
    </row>
    <row r="11">
      <c r="A11" s="0" t="inlineStr">
        <is>
          <t xml:space="preserve">Total Anggaran</t>
        </is>
      </c>
      <c r="B11" s="3">
        <f>SUM(Anggaran!B:B)</f>
      </c>
    </row>
    <row r="12">
      <c r="A12" s="0" t="inlineStr">
        <is>
          <t xml:space="preserve">Total Realisasi</t>
        </is>
      </c>
      <c r="B12" s="3">
        <f>SUM(Anggaran!C:C)</f>
      </c>
    </row>
    <row r="13">
      <c r="A13" s="5" t="inlineStr">
        <is>
          <t xml:space="preserve">Sisa Anggaran</t>
        </is>
      </c>
      <c r="B13" s="7">
        <f>B11-B12</f>
      </c>
    </row>
    <row r="14">
      <c r="A14" s="0" t="inlineStr">
        <is>
          <t xml:space="preserve">% Anggaran Terpakai</t>
        </is>
      </c>
      <c r="B14" s="6">
        <f>IF(B11=0,0,B12/B11)</f>
      </c>
    </row>
    <row r="15">
</row>
    <row r="16">
</row>
    <row r="17">
      <c r="A17" s="5" t="inlineStr">
        <is>
          <t xml:space="preserve">Tips:</t>
        </is>
      </c>
    </row>
    <row r="18">
      <c r="A18" s="0" t="inlineStr">
        <is>
          <t xml:space="preserve">- Isi transaksi di sheet 'Pemasukan' dan 'Pengeluaran'.</t>
        </is>
      </c>
    </row>
    <row r="19">
      <c r="A19" s="0" t="inlineStr">
        <is>
          <t xml:space="preserve">- Total &amp; saldo otomatis terhitung di sheet ini.</t>
        </is>
      </c>
    </row>
    <row r="20">
      <c r="A20" s="0" t="inlineStr">
        <is>
          <t xml:space="preserve">- Atur target bulanan di sheet 'Anggaran'.</t>
        </is>
      </c>
    </row>
    <row r="21">
      <c r="A21" s="0" t="inlineStr">
        <is>
          <t xml:space="preserve">- Gunakan nama kategori yang konsisten agar SUMIF akurat.</t>
        </is>
      </c>
    </row>
  </sheetData>
  <mergeCells count="1">
    <mergeCell ref="A1:B1"/>
  </mergeCells>
</worksheet>
</file>

<file path=xl/worksheets/sheet2.xml><?xml version="1.0" encoding="utf-8"?>
<worksheet xmlns="http://schemas.openxmlformats.org/spreadsheetml/2006/main">
  <cols>
    <col min="1" max="1" width="14" customWidth="1"/>
    <col min="2" max="2" width="22" customWidth="1"/>
    <col min="3" max="3" width="20" customWidth="1"/>
    <col min="4" max="4" width="32" customWidth="1"/>
    <col min="5" max="5" width="18" customWidth="1"/>
  </cols>
  <sheetData>
    <row r="1">
      <c r="A1" s="2" t="inlineStr">
        <is>
          <t xml:space="preserve">CATATAN PEMASUKAN</t>
        </is>
      </c>
    </row>
    <row r="2">
</row>
    <row r="3">
      <c r="A3" s="1" t="inlineStr">
        <is>
          <t xml:space="preserve">Tanggal</t>
        </is>
      </c>
      <c r="B3" s="1" t="inlineStr">
        <is>
          <t xml:space="preserve">Sumber</t>
        </is>
      </c>
      <c r="C3" s="1" t="inlineStr">
        <is>
          <t xml:space="preserve">Kategori</t>
        </is>
      </c>
      <c r="D3" s="1" t="inlineStr">
        <is>
          <t xml:space="preserve">Deskripsi</t>
        </is>
      </c>
      <c r="E3" s="1" t="inlineStr">
        <is>
          <t xml:space="preserve">Jumlah (Rp)</t>
        </is>
      </c>
    </row>
    <row r="4">
      <c r="A4" s="4">
        <v>46143</v>
      </c>
      <c r="B4" s="0" t="inlineStr">
        <is>
          <t xml:space="preserve">Gaji Bulanan</t>
        </is>
      </c>
      <c r="C4" s="0" t="inlineStr">
        <is>
          <t xml:space="preserve">Gaji</t>
        </is>
      </c>
      <c r="D4" s="0" t="inlineStr">
        <is>
          <t xml:space="preserve">Gaji Mei 2026</t>
        </is>
      </c>
      <c r="E4" s="10">
        <v>8500000</v>
      </c>
    </row>
    <row r="5">
      <c r="A5" s="4">
        <v>46147</v>
      </c>
      <c r="B5" s="0" t="inlineStr">
        <is>
          <t xml:space="preserve">Freelance</t>
        </is>
      </c>
      <c r="C5" s="0" t="inlineStr">
        <is>
          <t xml:space="preserve">Usaha Sampingan</t>
        </is>
      </c>
      <c r="D5" s="0" t="inlineStr">
        <is>
          <t xml:space="preserve">Proyek desain logo</t>
        </is>
      </c>
      <c r="E5" s="10">
        <v>1500000</v>
      </c>
    </row>
    <row r="6">
      <c r="A6" s="4">
        <v>46152</v>
      </c>
      <c r="B6" s="0" t="inlineStr">
        <is>
          <t xml:space="preserve">Dividen</t>
        </is>
      </c>
      <c r="C6" s="0" t="inlineStr">
        <is>
          <t xml:space="preserve">Investasi</t>
        </is>
      </c>
      <c r="D6" s="0" t="inlineStr">
        <is>
          <t xml:space="preserve">Dividen saham</t>
        </is>
      </c>
      <c r="E6" s="10">
        <v>250000</v>
      </c>
    </row>
    <row r="7">
</row>
    <row r="8">
</row>
    <row r="9">
</row>
    <row r="10">
</row>
    <row r="11">
</row>
    <row r="12">
</row>
    <row r="13">
</row>
    <row r="14">
</row>
    <row r="15">
</row>
    <row r="16">
</row>
    <row r="17">
</row>
    <row r="18">
</row>
    <row r="19">
</row>
    <row r="20">
</row>
    <row r="21">
</row>
    <row r="22">
</row>
    <row r="23">
</row>
    <row r="24">
</row>
    <row r="25">
</row>
    <row r="26">
</row>
    <row r="27">
</row>
    <row r="28">
</row>
    <row r="29">
</row>
    <row r="30">
</row>
    <row r="31">
</row>
    <row r="32">
</row>
    <row r="33">
</row>
    <row r="34">
</row>
    <row r="35">
</row>
    <row r="36">
</row>
    <row r="37">
</row>
    <row r="38">
</row>
    <row r="39">
</row>
    <row r="40">
</row>
    <row r="41">
</row>
    <row r="42">
</row>
    <row r="43">
</row>
    <row r="44">
</row>
    <row r="45">
</row>
    <row r="46">
</row>
    <row r="47">
</row>
    <row r="48">
</row>
    <row r="49">
</row>
    <row r="50">
</row>
    <row r="51">
</row>
    <row r="52">
</row>
    <row r="53">
</row>
    <row r="54">
</row>
    <row r="55">
</row>
    <row r="56">
</row>
    <row r="57">
</row>
    <row r="58">
      <c r="D58" s="5" t="inlineStr">
        <is>
          <t xml:space="preserve">TOTAL PEMASUKAN</t>
        </is>
      </c>
      <c r="E58" s="7">
        <f>SUM(E4:E56)</f>
      </c>
    </row>
  </sheetData>
  <mergeCells count="1">
    <mergeCell ref="A1:E1"/>
  </mergeCells>
</worksheet>
</file>

<file path=xl/worksheets/sheet3.xml><?xml version="1.0" encoding="utf-8"?>
<worksheet xmlns="http://schemas.openxmlformats.org/spreadsheetml/2006/main">
  <cols>
    <col min="1" max="1" width="14" customWidth="1"/>
    <col min="2" max="2" width="20" customWidth="1"/>
    <col min="3" max="3" width="32" customWidth="1"/>
    <col min="4" max="4" width="16" customWidth="1"/>
    <col min="5" max="5" width="18" customWidth="1"/>
  </cols>
  <sheetData>
    <row r="1">
      <c r="A1" s="2" t="inlineStr">
        <is>
          <t xml:space="preserve">CATATAN PENGELUARAN</t>
        </is>
      </c>
    </row>
    <row r="2">
</row>
    <row r="3">
      <c r="A3" s="1" t="inlineStr">
        <is>
          <t xml:space="preserve">Tanggal</t>
        </is>
      </c>
      <c r="B3" s="1" t="inlineStr">
        <is>
          <t xml:space="preserve">Kategori</t>
        </is>
      </c>
      <c r="C3" s="1" t="inlineStr">
        <is>
          <t xml:space="preserve">Deskripsi</t>
        </is>
      </c>
      <c r="D3" s="1" t="inlineStr">
        <is>
          <t xml:space="preserve">Metode Bayar</t>
        </is>
      </c>
      <c r="E3" s="1" t="inlineStr">
        <is>
          <t xml:space="preserve">Jumlah (Rp)</t>
        </is>
      </c>
    </row>
    <row r="4">
      <c r="A4" s="4">
        <v>46144</v>
      </c>
      <c r="B4" s="0" t="inlineStr">
        <is>
          <t xml:space="preserve">Makanan</t>
        </is>
      </c>
      <c r="C4" s="0" t="inlineStr">
        <is>
          <t xml:space="preserve">Belanja bulanan di supermarket</t>
        </is>
      </c>
      <c r="D4" s="0" t="inlineStr">
        <is>
          <t xml:space="preserve">Debit</t>
        </is>
      </c>
      <c r="E4" s="9">
        <v>750000</v>
      </c>
    </row>
    <row r="5">
      <c r="A5" s="4">
        <v>46145</v>
      </c>
      <c r="B5" s="0" t="inlineStr">
        <is>
          <t xml:space="preserve">Transportasi</t>
        </is>
      </c>
      <c r="C5" s="0" t="inlineStr">
        <is>
          <t xml:space="preserve">Isi bensin mobil</t>
        </is>
      </c>
      <c r="D5" s="0" t="inlineStr">
        <is>
          <t xml:space="preserve">Tunai</t>
        </is>
      </c>
      <c r="E5" s="9">
        <v>300000</v>
      </c>
    </row>
    <row r="6">
      <c r="A6" s="4">
        <v>46146</v>
      </c>
      <c r="B6" s="0" t="inlineStr">
        <is>
          <t xml:space="preserve">Tagihan</t>
        </is>
      </c>
      <c r="C6" s="0" t="inlineStr">
        <is>
          <t xml:space="preserve">Listrik &amp; air</t>
        </is>
      </c>
      <c r="D6" s="0" t="inlineStr">
        <is>
          <t xml:space="preserve">Transfer</t>
        </is>
      </c>
      <c r="E6" s="9">
        <v>450000</v>
      </c>
    </row>
    <row r="7">
      <c r="A7" s="4">
        <v>46148</v>
      </c>
      <c r="B7" s="0" t="inlineStr">
        <is>
          <t xml:space="preserve">Hiburan</t>
        </is>
      </c>
      <c r="C7" s="0" t="inlineStr">
        <is>
          <t xml:space="preserve">Nonton bioskop</t>
        </is>
      </c>
      <c r="D7" s="0" t="inlineStr">
        <is>
          <t xml:space="preserve">E-Wallet</t>
        </is>
      </c>
      <c r="E7" s="9">
        <v>120000</v>
      </c>
    </row>
    <row r="8">
      <c r="A8" s="4">
        <v>46150</v>
      </c>
      <c r="B8" s="0" t="inlineStr">
        <is>
          <t xml:space="preserve">Kesehatan</t>
        </is>
      </c>
      <c r="C8" s="0" t="inlineStr">
        <is>
          <t xml:space="preserve">Beli obat &amp; vitamin</t>
        </is>
      </c>
      <c r="D8" s="0" t="inlineStr">
        <is>
          <t xml:space="preserve">Tunai</t>
        </is>
      </c>
      <c r="E8" s="9">
        <v>180000</v>
      </c>
    </row>
    <row r="9">
</row>
    <row r="10">
</row>
    <row r="11">
</row>
    <row r="12">
</row>
    <row r="13">
</row>
    <row r="14">
</row>
    <row r="15">
</row>
    <row r="16">
</row>
    <row r="17">
</row>
    <row r="18">
</row>
    <row r="19">
</row>
    <row r="20">
</row>
    <row r="21">
</row>
    <row r="22">
</row>
    <row r="23">
</row>
    <row r="24">
</row>
    <row r="25">
</row>
    <row r="26">
</row>
    <row r="27">
</row>
    <row r="28">
</row>
    <row r="29">
</row>
    <row r="30">
</row>
    <row r="31">
</row>
    <row r="32">
</row>
    <row r="33">
</row>
    <row r="34">
</row>
    <row r="35">
</row>
    <row r="36">
</row>
    <row r="37">
</row>
    <row r="38">
</row>
    <row r="39">
</row>
    <row r="40">
</row>
    <row r="41">
</row>
    <row r="42">
</row>
    <row r="43">
</row>
    <row r="44">
</row>
    <row r="45">
</row>
    <row r="46">
</row>
    <row r="47">
</row>
    <row r="48">
</row>
    <row r="49">
</row>
    <row r="50">
</row>
    <row r="51">
</row>
    <row r="52">
</row>
    <row r="53">
</row>
    <row r="54">
</row>
    <row r="55">
</row>
    <row r="56">
</row>
    <row r="57">
</row>
    <row r="58">
</row>
    <row r="59">
</row>
    <row r="60">
</row>
    <row r="61">
</row>
    <row r="62">
</row>
    <row r="63">
</row>
    <row r="64">
</row>
    <row r="65">
</row>
    <row r="66">
</row>
    <row r="67">
</row>
    <row r="68">
</row>
    <row r="69">
</row>
    <row r="70">
      <c r="D70" s="5" t="inlineStr">
        <is>
          <t xml:space="preserve">TOTAL PENGELUARAN</t>
        </is>
      </c>
      <c r="E70" s="7">
        <f>SUM(E4:E68)</f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>
  <cols>
    <col min="1" max="1" width="22" customWidth="1"/>
    <col min="2" max="2" width="18" customWidth="1"/>
    <col min="3" max="3" width="18" customWidth="1"/>
    <col min="4" max="4" width="18" customWidth="1"/>
    <col min="5" max="5" width="14" customWidth="1"/>
  </cols>
  <sheetData>
    <row r="1">
      <c r="A1" s="2" t="inlineStr">
        <is>
          <t xml:space="preserve">ANGGARAN BULANAN</t>
        </is>
      </c>
    </row>
    <row r="2">
</row>
    <row r="3">
      <c r="A3" s="1" t="inlineStr">
        <is>
          <t xml:space="preserve">Kategori</t>
        </is>
      </c>
      <c r="B3" s="1" t="inlineStr">
        <is>
          <t xml:space="preserve">Anggaran (Rp)</t>
        </is>
      </c>
      <c r="C3" s="1" t="inlineStr">
        <is>
          <t xml:space="preserve">Realisasi (Rp)</t>
        </is>
      </c>
      <c r="D3" s="1" t="inlineStr">
        <is>
          <t xml:space="preserve">Sisa (Rp)</t>
        </is>
      </c>
      <c r="E3" s="1" t="inlineStr">
        <is>
          <t xml:space="preserve">% Terpakai</t>
        </is>
      </c>
    </row>
    <row r="4">
      <c r="A4" s="0" t="inlineStr">
        <is>
          <t xml:space="preserve">Makanan</t>
        </is>
      </c>
      <c r="B4" s="3">
        <v>2500000</v>
      </c>
      <c r="C4" s="3">
        <f>SUMIF(Pengeluaran!B:B,A4,Pengeluaran!E:E)</f>
      </c>
      <c r="D4" s="3">
        <f>B4-C4</f>
      </c>
      <c r="E4" s="6">
        <f>IF(B4=0,0,C4/B4)</f>
      </c>
    </row>
    <row r="5">
      <c r="A5" s="0" t="inlineStr">
        <is>
          <t xml:space="preserve">Transportasi</t>
        </is>
      </c>
      <c r="B5" s="3">
        <v>1000000</v>
      </c>
      <c r="C5" s="3">
        <f>SUMIF(Pengeluaran!B:B,A5,Pengeluaran!E:E)</f>
      </c>
      <c r="D5" s="3">
        <f>B5-C5</f>
      </c>
      <c r="E5" s="6">
        <f>IF(B5=0,0,C5/B5)</f>
      </c>
    </row>
    <row r="6">
      <c r="A6" s="0" t="inlineStr">
        <is>
          <t xml:space="preserve">Tagihan</t>
        </is>
      </c>
      <c r="B6" s="3">
        <v>1200000</v>
      </c>
      <c r="C6" s="3">
        <f>SUMIF(Pengeluaran!B:B,A6,Pengeluaran!E:E)</f>
      </c>
      <c r="D6" s="3">
        <f>B6-C6</f>
      </c>
      <c r="E6" s="6">
        <f>IF(B6=0,0,C6/B6)</f>
      </c>
    </row>
    <row r="7">
      <c r="A7" s="0" t="inlineStr">
        <is>
          <t xml:space="preserve">Hiburan</t>
        </is>
      </c>
      <c r="B7" s="3">
        <v>500000</v>
      </c>
      <c r="C7" s="3">
        <f>SUMIF(Pengeluaran!B:B,A7,Pengeluaran!E:E)</f>
      </c>
      <c r="D7" s="3">
        <f>B7-C7</f>
      </c>
      <c r="E7" s="6">
        <f>IF(B7=0,0,C7/B7)</f>
      </c>
    </row>
    <row r="8">
      <c r="A8" s="0" t="inlineStr">
        <is>
          <t xml:space="preserve">Kesehatan</t>
        </is>
      </c>
      <c r="B8" s="3">
        <v>400000</v>
      </c>
      <c r="C8" s="3">
        <f>SUMIF(Pengeluaran!B:B,A8,Pengeluaran!E:E)</f>
      </c>
      <c r="D8" s="3">
        <f>B8-C8</f>
      </c>
      <c r="E8" s="6">
        <f>IF(B8=0,0,C8/B8)</f>
      </c>
    </row>
    <row r="9">
      <c r="A9" s="0" t="inlineStr">
        <is>
          <t xml:space="preserve">Belanja</t>
        </is>
      </c>
      <c r="B9" s="3">
        <v>800000</v>
      </c>
      <c r="C9" s="3">
        <f>SUMIF(Pengeluaran!B:B,A9,Pengeluaran!E:E)</f>
      </c>
      <c r="D9" s="3">
        <f>B9-C9</f>
      </c>
      <c r="E9" s="6">
        <f>IF(B9=0,0,C9/B9)</f>
      </c>
    </row>
    <row r="10">
      <c r="A10" s="0" t="inlineStr">
        <is>
          <t xml:space="preserve">Pendidikan</t>
        </is>
      </c>
      <c r="B10" s="3">
        <v>500000</v>
      </c>
      <c r="C10" s="3">
        <f>SUMIF(Pengeluaran!B:B,A10,Pengeluaran!E:E)</f>
      </c>
      <c r="D10" s="3">
        <f>B10-C10</f>
      </c>
      <c r="E10" s="6">
        <f>IF(B10=0,0,C10/B10)</f>
      </c>
    </row>
    <row r="11">
      <c r="A11" s="0" t="inlineStr">
        <is>
          <t xml:space="preserve">Tabungan</t>
        </is>
      </c>
      <c r="B11" s="3">
        <v>2000000</v>
      </c>
      <c r="C11" s="3">
        <f>SUMIF(Pengeluaran!B:B,A11,Pengeluaran!E:E)</f>
      </c>
      <c r="D11" s="3">
        <f>B11-C11</f>
      </c>
      <c r="E11" s="6">
        <f>IF(B11=0,0,C11/B11)</f>
      </c>
    </row>
    <row r="12">
      <c r="A12" s="0" t="inlineStr">
        <is>
          <t xml:space="preserve">Lain-lain</t>
        </is>
      </c>
      <c r="B12" s="3">
        <v>300000</v>
      </c>
      <c r="C12" s="3">
        <f>SUMIF(Pengeluaran!B:B,A12,Pengeluaran!E:E)</f>
      </c>
      <c r="D12" s="3">
        <f>B12-C12</f>
      </c>
      <c r="E12" s="6">
        <f>IF(B12=0,0,C12/B12)</f>
      </c>
    </row>
    <row r="13">
</row>
    <row r="14">
      <c r="A14" s="5" t="inlineStr">
        <is>
          <t xml:space="preserve">TOTAL</t>
        </is>
      </c>
      <c r="B14" s="7">
        <f>SUM(B4:B12)</f>
      </c>
      <c r="C14" s="7">
        <f>SUM(C4:C12)</f>
      </c>
      <c r="D14" s="7">
        <f>SUM(D4:D12)</f>
      </c>
      <c r="E14" s="6">
        <f>IF(B14=0,0,C14/B14)</f>
      </c>
    </row>
  </sheetData>
  <mergeCells count="1">
    <mergeCell ref="A1:E1"/>
  </mergeCells>
</worksheet>
</file>

<file path=xl/worksheets/sheet5.xml><?xml version="1.0" encoding="utf-8"?>
<worksheet xmlns="http://schemas.openxmlformats.org/spreadsheetml/2006/main">
  <cols>
    <col min="1" max="1" width="26" customWidth="1"/>
    <col min="2" max="2" width="26" customWidth="1"/>
  </cols>
  <sheetData>
    <row r="1">
      <c r="A1" s="2" t="inlineStr">
        <is>
          <t xml:space="preserve">DAFTAR KATEGORI</t>
        </is>
      </c>
    </row>
    <row r="2">
</row>
    <row r="3">
      <c r="A3" s="1" t="inlineStr">
        <is>
          <t xml:space="preserve">Kategori Pemasukan</t>
        </is>
      </c>
      <c r="B3" s="1" t="inlineStr">
        <is>
          <t xml:space="preserve">Kategori Pengeluaran</t>
        </is>
      </c>
    </row>
    <row r="4">
      <c r="A4" s="0" t="inlineStr">
        <is>
          <t xml:space="preserve">Gaji</t>
        </is>
      </c>
      <c r="B4" s="0" t="inlineStr">
        <is>
          <t xml:space="preserve">Makanan</t>
        </is>
      </c>
    </row>
    <row r="5">
      <c r="A5" s="0" t="inlineStr">
        <is>
          <t xml:space="preserve">Bonus</t>
        </is>
      </c>
      <c r="B5" s="0" t="inlineStr">
        <is>
          <t xml:space="preserve">Transportasi</t>
        </is>
      </c>
    </row>
    <row r="6">
      <c r="A6" s="0" t="inlineStr">
        <is>
          <t xml:space="preserve">Usaha Sampingan</t>
        </is>
      </c>
      <c r="B6" s="0" t="inlineStr">
        <is>
          <t xml:space="preserve">Tagihan</t>
        </is>
      </c>
    </row>
    <row r="7">
      <c r="A7" s="0" t="inlineStr">
        <is>
          <t xml:space="preserve">Investasi</t>
        </is>
      </c>
      <c r="B7" s="0" t="inlineStr">
        <is>
          <t xml:space="preserve">Hiburan</t>
        </is>
      </c>
    </row>
    <row r="8">
      <c r="A8" s="0" t="inlineStr">
        <is>
          <t xml:space="preserve">Hadiah</t>
        </is>
      </c>
      <c r="B8" s="0" t="inlineStr">
        <is>
          <t xml:space="preserve">Kesehatan</t>
        </is>
      </c>
    </row>
    <row r="9">
      <c r="A9" s="0" t="inlineStr">
        <is>
          <t xml:space="preserve">Lain-lain</t>
        </is>
      </c>
      <c r="B9" s="0" t="inlineStr">
        <is>
          <t xml:space="preserve">Belanja</t>
        </is>
      </c>
    </row>
    <row r="10">
      <c r="B10" s="0" t="inlineStr">
        <is>
          <t xml:space="preserve">Pendidikan</t>
        </is>
      </c>
    </row>
    <row r="11">
      <c r="B11" s="0" t="inlineStr">
        <is>
          <t xml:space="preserve">Tabungan</t>
        </is>
      </c>
    </row>
    <row r="12">
      <c r="B12" s="0" t="inlineStr">
        <is>
          <t xml:space="preserve">Cicilan</t>
        </is>
      </c>
    </row>
    <row r="13">
      <c r="B13" s="0" t="inlineStr">
        <is>
          <t xml:space="preserve">Lain-lain</t>
        </is>
      </c>
    </row>
  </sheetData>
  <mergeCells count="1">
    <mergeCell ref="A1:B1"/>
  </mergeCells>
</worksheet>
</file>