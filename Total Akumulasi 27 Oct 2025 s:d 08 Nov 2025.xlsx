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Rekap Harian" sheetId="2" r:id="rId5"/>
    <sheet state="visible" name="Rekap Mingguan" sheetId="3" r:id="rId6"/>
    <sheet state="visible" name="Grafik" sheetId="4" r:id="rId7"/>
    <sheet state="visible" name="Pengaturan" sheetId="5" r:id="rId8"/>
    <sheet state="visible" name="Pagu Harian" sheetId="6" r:id="rId9"/>
    <sheet state="visible" name="Kategori" sheetId="7" r:id="rId10"/>
  </sheets>
  <definedNames/>
  <calcPr/>
  <extLst>
    <ext uri="GoogleSheetsCustomDataVersion2">
      <go:sheetsCustomData xmlns:go="http://customooxmlschemas.google.com/" r:id="rId11" roundtripDataChecksum="8UCyqS1q+0lR0NlKV/9byX07goF6oAS1Rk06Iv6fBGQ="/>
    </ext>
  </extLst>
</workbook>
</file>

<file path=xl/sharedStrings.xml><?xml version="1.0" encoding="utf-8"?>
<sst xmlns="http://schemas.openxmlformats.org/spreadsheetml/2006/main" count="191" uniqueCount="152">
  <si>
    <t>DASHBOARD LAPORAN KEUANGAN</t>
  </si>
  <si>
    <t>SPPG Battuwinangun - Program Pemenuhan Gizi</t>
  </si>
  <si>
    <t>Periode:</t>
  </si>
  <si>
    <t>TOTAL DANA ANGGARAN</t>
  </si>
  <si>
    <t>TOTAL DIPAKAI</t>
  </si>
  <si>
    <t>TOTAL SISA DANA</t>
  </si>
  <si>
    <t>% PENYERAPAN</t>
  </si>
  <si>
    <t>Terpakai</t>
  </si>
  <si>
    <t>Sisa</t>
  </si>
  <si>
    <t>A. PENGELUARAN BAHAN PANGAN</t>
  </si>
  <si>
    <t>Surplus</t>
  </si>
  <si>
    <t>Rata-Rata Pengeluaran Bahan Pangan / Hari</t>
  </si>
  <si>
    <t>Defisit</t>
  </si>
  <si>
    <t>Pengeluaran Bahan Pangan Seharusnya / Hari</t>
  </si>
  <si>
    <t>Selisih Pengeluaran Bahan Pangan / Hari</t>
  </si>
  <si>
    <t>Dana Total Bahan Pangan</t>
  </si>
  <si>
    <t>Penggunaan Dana Pangan</t>
  </si>
  <si>
    <t>Sisa Dana Pangan</t>
  </si>
  <si>
    <t>% Penggunaan Dana Pangan</t>
  </si>
  <si>
    <t>B. PENGELUARAN OPERASIONAL</t>
  </si>
  <si>
    <t>Rata-Rata Pengeluaran Operasional / Hari</t>
  </si>
  <si>
    <t>Pengeluaran Operasional Seharusnya / Hari</t>
  </si>
  <si>
    <t>Selisih Pengeluaran Operasional / Hari</t>
  </si>
  <si>
    <t>Dana Total Operasional</t>
  </si>
  <si>
    <t>Penggunaan Dana Operasional</t>
  </si>
  <si>
    <t>Sisa Dana Operasional</t>
  </si>
  <si>
    <t>% Penggunaan Dana Operasional</t>
  </si>
  <si>
    <t>C. RINGKASAN TOTAL</t>
  </si>
  <si>
    <t>Total Dana Anggaran</t>
  </si>
  <si>
    <t>Total Penggunaan Dana</t>
  </si>
  <si>
    <t>Total Sisa Dana</t>
  </si>
  <si>
    <t>% Penyerapan Anggaran</t>
  </si>
  <si>
    <t>Rata-Rata Total Pengeluaran / Hari</t>
  </si>
  <si>
    <t>Pagu Total / Hari (Seharusnya)</t>
  </si>
  <si>
    <t>Selisih Total / Hari</t>
  </si>
  <si>
    <t>D. ANALISIS SURPLUS/DEFISIT</t>
  </si>
  <si>
    <t>Jumlah Hari SURPLUS (hemat)</t>
  </si>
  <si>
    <t>Jumlah Hari DEFISIT (melewati pagu)</t>
  </si>
  <si>
    <t>Jumlah Hari AMAN (pas pagu)</t>
  </si>
  <si>
    <t>Jumlah Hari Belum Input</t>
  </si>
  <si>
    <t>Total Akumulasi Surplus</t>
  </si>
  <si>
    <t>Total Akumulasi Defisit</t>
  </si>
  <si>
    <t>Net Surplus/Defisit</t>
  </si>
  <si>
    <t>% Surplus Total (dari Total Pagu)</t>
  </si>
  <si>
    <t>Pengeluaran Tertinggi/Hari</t>
  </si>
  <si>
    <t>Pengeluaran Terendah/Hari</t>
  </si>
  <si>
    <t>CATATAN:</t>
  </si>
  <si>
    <t>- Dashboard update otomatis dari sheet Rekap Harian.</t>
  </si>
  <si>
    <t>- Input aktual di sheet 'Rekap Harian' kolom F (Pangan) &amp; kolom I (Operasional).</t>
  </si>
  <si>
    <t>- Selisih/Surplus POSITIF = hemat, NEGATIF = boros (melewati pagu).</t>
  </si>
  <si>
    <t>- Lihat detail mingguan di 'Rekap Mingguan', visualisasi di 'Grafik'.</t>
  </si>
  <si>
    <t>REKAP HARIAN PENGELUARAN</t>
  </si>
  <si>
    <t>Input aktual pangan (kolom F) &amp; operasional (kolom I) setiap hari. Sisanya otomatis.</t>
  </si>
  <si>
    <t>No</t>
  </si>
  <si>
    <t>Tanggal</t>
  </si>
  <si>
    <t>Hari</t>
  </si>
  <si>
    <t>Mg Ke</t>
  </si>
  <si>
    <t>Pagu Pangan</t>
  </si>
  <si>
    <t>Aktual Pangan</t>
  </si>
  <si>
    <t>Selisih Pangan</t>
  </si>
  <si>
    <t>Pagu Operasional</t>
  </si>
  <si>
    <t>Aktual Operasional</t>
  </si>
  <si>
    <t>Selisih Operasional</t>
  </si>
  <si>
    <t>Total Pagu</t>
  </si>
  <si>
    <t>Total Aktual</t>
  </si>
  <si>
    <t>Surplus/Defisit</t>
  </si>
  <si>
    <t>Status</t>
  </si>
  <si>
    <t>Status Defisit</t>
  </si>
  <si>
    <t>Status Ops</t>
  </si>
  <si>
    <t>-</t>
  </si>
  <si>
    <t>Pembayaran Sewa</t>
  </si>
  <si>
    <t>Libur</t>
  </si>
  <si>
    <t>Pembayaran Sewa dan Gaji Relawan</t>
  </si>
  <si>
    <t>TOTAL</t>
  </si>
  <si>
    <t>RATA-RATA/HARI</t>
  </si>
  <si>
    <t>REKAP MINGGUAN PENGELUARAN</t>
  </si>
  <si>
    <t>Agregasi mingguan otomatis. Surplus = hemat, Defisit = boros</t>
  </si>
  <si>
    <t>Minggu Ke</t>
  </si>
  <si>
    <t>Periode</t>
  </si>
  <si>
    <t>VISUALISASI LAPORAN KEUANGAN</t>
  </si>
  <si>
    <t>Grafik profesional di sebelah kanan tabel data</t>
  </si>
  <si>
    <t>1. Tren Harian - Pangan &amp; Operasional vs Pagu</t>
  </si>
  <si>
    <t>Tgl</t>
  </si>
  <si>
    <t>2. Surplus vs Defisit Per Hari</t>
  </si>
  <si>
    <t>Surplus (Rp)</t>
  </si>
  <si>
    <t>Defisit (Rp)</t>
  </si>
  <si>
    <t>3. Rekap Mingguan - Aktual vs Pagu</t>
  </si>
  <si>
    <t>Minggu</t>
  </si>
  <si>
    <t>4. Komposisi Pengeluaran</t>
  </si>
  <si>
    <t>Kategori</t>
  </si>
  <si>
    <t>Jumlah (Rp)</t>
  </si>
  <si>
    <t>Persentase</t>
  </si>
  <si>
    <t>Bahan Pangan</t>
  </si>
  <si>
    <t>Operasional</t>
  </si>
  <si>
    <t>5. Anggaran vs Realisasi vs Sisa</t>
  </si>
  <si>
    <t>Dana Total</t>
  </si>
  <si>
    <t>PENGATURAN LAPORAN KEUANGAN</t>
  </si>
  <si>
    <t>Master konfigurasi - edit bagian ini untuk menyesuaikan laporan</t>
  </si>
  <si>
    <t>Periode Mulai</t>
  </si>
  <si>
    <t>&lt;- edit tanggal</t>
  </si>
  <si>
    <t>Periode Selesai</t>
  </si>
  <si>
    <t>Jumlah Hari Operasi</t>
  </si>
  <si>
    <t>(otomatis)</t>
  </si>
  <si>
    <t>DANA ANGGARAN</t>
  </si>
  <si>
    <t>&lt;- edit total dana</t>
  </si>
  <si>
    <t>Total Dana Keseluruhan</t>
  </si>
  <si>
    <t>PAGU DEFAULT / HARI (SEHARUSNYA)</t>
  </si>
  <si>
    <t>Pagu Default Pangan/Hari</t>
  </si>
  <si>
    <t>= Dana Pangan / Jumlah Hari</t>
  </si>
  <si>
    <t>Pagu Default Operasional/Hari</t>
  </si>
  <si>
    <t>= Dana Operasional / Jumlah Hari</t>
  </si>
  <si>
    <t>Pagu Default Total/Hari</t>
  </si>
  <si>
    <t>= Pangan + Operasional</t>
  </si>
  <si>
    <t>INFORMASI ORGANISASI</t>
  </si>
  <si>
    <t>Nama Instansi</t>
  </si>
  <si>
    <t>SPPG Battuwinangun</t>
  </si>
  <si>
    <t>Alamat</t>
  </si>
  <si>
    <t>Penanggung Jawab</t>
  </si>
  <si>
    <t>Alfiansah Prastyo, S.Kel</t>
  </si>
  <si>
    <t>Periode Laporan</t>
  </si>
  <si>
    <t>- Edit hanya di kolom B pada baris yang bertanda &lt;- edit</t>
  </si>
  <si>
    <t>- Pagu per hari bisa berbeda-beda, diatur di sheet 'Pagu Harian'</t>
  </si>
  <si>
    <t>- Isi aktual pangan &amp; operasional langsung di sheet 'Rekap Harian'</t>
  </si>
  <si>
    <t>- Dashboard, Rekap Mingguan, &amp; Grafik update otomatis</t>
  </si>
  <si>
    <t>PAGU HARIAN PENGELUARAN</t>
  </si>
  <si>
    <t>Set pagu per tanggal. Biarkan default jika pagu hari itu sama dengan Pengaturan</t>
  </si>
  <si>
    <t>Pagu Pangan (Rp)</t>
  </si>
  <si>
    <t>Pagu Operasional (Rp)</t>
  </si>
  <si>
    <t>Pagu Total (Rp)</t>
  </si>
  <si>
    <t>Keterangan</t>
  </si>
  <si>
    <t>DAFTAR KATEGORI (REFERENSI)</t>
  </si>
  <si>
    <t>Referensi daftar kategori - tidak dipakai di formula, hanya panduan</t>
  </si>
  <si>
    <t>Kategori Bahan Pangan</t>
  </si>
  <si>
    <t>Kategori Operasional</t>
  </si>
  <si>
    <t>Karbohidrat</t>
  </si>
  <si>
    <t>Bahan Bakar</t>
  </si>
  <si>
    <t>Protein Hewani</t>
  </si>
  <si>
    <t>Tenaga Kerja</t>
  </si>
  <si>
    <t>Protein Nabati</t>
  </si>
  <si>
    <t>Utilitas</t>
  </si>
  <si>
    <t>Sayuran</t>
  </si>
  <si>
    <t>Sanitasi</t>
  </si>
  <si>
    <t>Buah</t>
  </si>
  <si>
    <t>Packaging</t>
  </si>
  <si>
    <t>Susu &amp; Olahan</t>
  </si>
  <si>
    <t>Transportasi</t>
  </si>
  <si>
    <t>Bumbu</t>
  </si>
  <si>
    <t>Peralatan</t>
  </si>
  <si>
    <t>Minuman</t>
  </si>
  <si>
    <t>Pemeliharaan</t>
  </si>
  <si>
    <t>Lain-lain</t>
  </si>
  <si>
    <t>Administrasi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</si>
</sst>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p&quot;\ #,##0;[Red]&quot;Rp&quot;\ \-#,##0"/>
    <numFmt numFmtId="165" formatCode="0.0%"/>
    <numFmt numFmtId="166" formatCode="dd\ mmm\ yyyy"/>
    <numFmt numFmtId="167" formatCode="[$Rp]#,##0"/>
  </numFmts>
  <fonts count="18">
    <font>
      <sz val="11.0"/>
      <color rgb="FF262626"/>
      <name val="Calibri"/>
      <scheme val="minor"/>
    </font>
    <font>
      <b/>
      <sz val="20.0"/>
      <color rgb="FF1F4E79"/>
      <name val="Calibri"/>
    </font>
    <font>
      <i/>
      <sz val="10.0"/>
      <color rgb="FF595959"/>
      <name val="Calibri"/>
    </font>
    <font>
      <b/>
      <i/>
      <sz val="11.0"/>
      <color rgb="FF262626"/>
      <name val="Calibri"/>
    </font>
    <font>
      <b/>
      <sz val="11.0"/>
      <color rgb="FF262626"/>
      <name val="Calibri"/>
    </font>
    <font>
      <b/>
      <sz val="9.0"/>
      <color rgb="FF404040"/>
      <name val="Calibri"/>
    </font>
    <font>
      <sz val="11.0"/>
      <color rgb="FFC00000"/>
      <name val="Calibri"/>
    </font>
    <font>
      <b/>
      <sz val="18.0"/>
      <color rgb="FFFFFFFF"/>
      <name val="Calibri"/>
    </font>
    <font>
      <b/>
      <sz val="12.0"/>
      <color rgb="FFFFFFFF"/>
      <name val="Calibri"/>
    </font>
    <font>
      <b/>
      <sz val="14.0"/>
      <color rgb="FF1F4E79"/>
      <name val="Calibri"/>
    </font>
    <font>
      <b/>
      <sz val="11.0"/>
      <color rgb="FF375623"/>
      <name val="Calibri"/>
    </font>
    <font>
      <i/>
      <sz val="9.0"/>
      <color rgb="FF808080"/>
      <name val="Calibri"/>
    </font>
    <font>
      <b/>
      <color theme="1"/>
      <name val="Calibri"/>
    </font>
    <font>
      <b/>
      <sz val="11.0"/>
      <color rgb="FFFFFFFF"/>
      <name val="Calibri"/>
    </font>
    <font>
      <sz val="11.0"/>
      <color rgb="FF375623"/>
      <name val="Calibri"/>
    </font>
    <font>
      <sz val="11.0"/>
      <color rgb="FF262626"/>
      <name val="Calibri"/>
    </font>
    <font>
      <color theme="1"/>
      <name val="Calibri"/>
    </font>
    <font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70AD47"/>
        <bgColor rgb="FF70AD47"/>
      </patternFill>
    </fill>
    <fill>
      <patternFill patternType="solid">
        <fgColor rgb="FFBF8F00"/>
        <bgColor rgb="FFBF8F00"/>
      </patternFill>
    </fill>
    <fill>
      <patternFill patternType="solid">
        <fgColor rgb="FF548235"/>
        <bgColor rgb="FF548235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D7D31"/>
        <bgColor rgb="FFED7D31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1" fillId="0" fontId="6" numFmtId="164" xfId="0" applyBorder="1" applyFont="1" applyNumberFormat="1"/>
    <xf borderId="2" fillId="2" fontId="7" numFmtId="164" xfId="0" applyAlignment="1" applyBorder="1" applyFill="1" applyFont="1" applyNumberFormat="1">
      <alignment horizontal="center" vertical="center"/>
    </xf>
    <xf borderId="2" fillId="3" fontId="7" numFmtId="164" xfId="0" applyAlignment="1" applyBorder="1" applyFill="1" applyFont="1" applyNumberFormat="1">
      <alignment horizontal="center" vertical="center"/>
    </xf>
    <xf borderId="2" fillId="4" fontId="7" numFmtId="164" xfId="0" applyAlignment="1" applyBorder="1" applyFill="1" applyFont="1" applyNumberFormat="1">
      <alignment horizontal="center" vertical="center"/>
    </xf>
    <xf borderId="2" fillId="5" fontId="7" numFmtId="165" xfId="0" applyAlignment="1" applyBorder="1" applyFill="1" applyFont="1" applyNumberFormat="1">
      <alignment horizontal="center" vertical="center"/>
    </xf>
    <xf borderId="1" fillId="6" fontId="8" numFmtId="0" xfId="0" applyAlignment="1" applyBorder="1" applyFill="1" applyFont="1">
      <alignment horizontal="left" vertical="center"/>
    </xf>
    <xf borderId="1" fillId="7" fontId="9" numFmtId="164" xfId="0" applyBorder="1" applyFill="1" applyFont="1" applyNumberFormat="1"/>
    <xf borderId="1" fillId="8" fontId="10" numFmtId="164" xfId="0" applyBorder="1" applyFill="1" applyFont="1" applyNumberFormat="1"/>
    <xf borderId="0" fillId="0" fontId="11" numFmtId="0" xfId="0" applyFont="1"/>
    <xf borderId="1" fillId="0" fontId="4" numFmtId="165" xfId="0" applyAlignment="1" applyBorder="1" applyFont="1" applyNumberFormat="1">
      <alignment horizontal="center"/>
    </xf>
    <xf borderId="1" fillId="9" fontId="8" numFmtId="0" xfId="0" applyAlignment="1" applyBorder="1" applyFill="1" applyFont="1">
      <alignment horizontal="left" vertical="center"/>
    </xf>
    <xf borderId="0" fillId="0" fontId="12" numFmtId="0" xfId="0" applyFont="1"/>
    <xf borderId="1" fillId="10" fontId="13" numFmtId="0" xfId="0" applyAlignment="1" applyBorder="1" applyFill="1" applyFont="1">
      <alignment horizontal="center" shrinkToFit="0" vertical="center" wrapText="1"/>
    </xf>
    <xf borderId="1" fillId="7" fontId="4" numFmtId="164" xfId="0" applyBorder="1" applyFont="1" applyNumberFormat="1"/>
    <xf borderId="1" fillId="0" fontId="14" numFmtId="164" xfId="0" applyBorder="1" applyFont="1" applyNumberFormat="1"/>
    <xf borderId="0" fillId="0" fontId="2" numFmtId="0" xfId="0" applyAlignment="1" applyFont="1">
      <alignment horizontal="center"/>
    </xf>
    <xf borderId="1" fillId="0" fontId="15" numFmtId="166" xfId="0" applyAlignment="1" applyBorder="1" applyFont="1" applyNumberFormat="1">
      <alignment horizontal="center"/>
    </xf>
    <xf borderId="1" fillId="0" fontId="15" numFmtId="164" xfId="0" applyBorder="1" applyFont="1" applyNumberFormat="1"/>
    <xf borderId="1" fillId="0" fontId="15" numFmtId="164" xfId="0" applyAlignment="1" applyBorder="1" applyFont="1" applyNumberFormat="1">
      <alignment readingOrder="0"/>
    </xf>
    <xf borderId="1" fillId="0" fontId="4" numFmtId="164" xfId="0" applyBorder="1" applyFont="1" applyNumberFormat="1"/>
    <xf borderId="1" fillId="0" fontId="4" numFmtId="0" xfId="0" applyAlignment="1" applyBorder="1" applyFont="1">
      <alignment horizontal="center" vertical="center"/>
    </xf>
    <xf borderId="0" fillId="0" fontId="16" numFmtId="0" xfId="0" applyFont="1"/>
    <xf borderId="0" fillId="0" fontId="17" numFmtId="0" xfId="0" applyAlignment="1" applyFont="1">
      <alignment readingOrder="0"/>
    </xf>
    <xf borderId="0" fillId="0" fontId="16" numFmtId="167" xfId="0" applyAlignment="1" applyFont="1" applyNumberFormat="1">
      <alignment readingOrder="0"/>
    </xf>
    <xf borderId="1" fillId="8" fontId="10" numFmtId="167" xfId="0" applyBorder="1" applyFont="1" applyNumberFormat="1"/>
    <xf borderId="1" fillId="0" fontId="15" numFmtId="167" xfId="0" applyBorder="1" applyFont="1" applyNumberFormat="1"/>
    <xf borderId="0" fillId="0" fontId="17" numFmtId="167" xfId="0" applyAlignment="1" applyFont="1" applyNumberFormat="1">
      <alignment readingOrder="0"/>
    </xf>
    <xf borderId="1" fillId="11" fontId="4" numFmtId="0" xfId="0" applyBorder="1" applyFill="1" applyFont="1"/>
    <xf borderId="1" fillId="12" fontId="8" numFmtId="0" xfId="0" applyAlignment="1" applyBorder="1" applyFill="1" applyFont="1">
      <alignment horizontal="left" vertical="center"/>
    </xf>
    <xf borderId="1" fillId="0" fontId="15" numFmtId="166" xfId="0" applyAlignment="1" applyBorder="1" applyFont="1" applyNumberFormat="1">
      <alignment horizontal="center" readingOrder="0"/>
    </xf>
    <xf borderId="1" fillId="0" fontId="15" numFmtId="3" xfId="0" applyAlignment="1" applyBorder="1" applyFont="1" applyNumberFormat="1">
      <alignment horizontal="center"/>
    </xf>
    <xf borderId="1" fillId="10" fontId="8" numFmtId="0" xfId="0" applyAlignment="1" applyBorder="1" applyFont="1">
      <alignment horizontal="left" vertical="center"/>
    </xf>
  </cellXfs>
  <cellStyles count="1">
    <cellStyle xfId="0" name="Normal" builtinId="0"/>
  </cellStyles>
  <dxfs count="4">
    <dxf>
      <font>
        <b/>
        <color rgb="FFFFFFFF"/>
      </font>
      <fill>
        <patternFill patternType="solid">
          <fgColor rgb="FF70AD47"/>
          <bgColor rgb="FF70AD47"/>
        </patternFill>
      </fill>
      <border/>
    </dxf>
    <dxf>
      <font>
        <b/>
        <color rgb="FFFFFFFF"/>
      </font>
      <fill>
        <patternFill patternType="solid">
          <fgColor rgb="FFC00000"/>
          <bgColor rgb="FFC00000"/>
        </patternFill>
      </fill>
      <border/>
    </dxf>
    <dxf>
      <font>
        <b/>
        <color rgb="FFFFFFFF"/>
      </font>
      <fill>
        <patternFill patternType="solid">
          <fgColor rgb="FF2E75B6"/>
          <bgColor rgb="FF2E75B6"/>
        </patternFill>
      </fill>
      <border/>
    </dxf>
    <dxf>
      <font>
        <b/>
        <color rgb="FF808080"/>
      </font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PENYERAPAN ANGGARAN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67300"/>
              </a:solidFill>
            </c:spPr>
          </c:dPt>
          <c:dPt>
            <c:idx val="1"/>
            <c:spPr>
              <a:solidFill>
                <a:srgbClr val="54823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Dashboard!$N$5:$N$6</c:f>
            </c:strRef>
          </c:cat>
          <c:val>
            <c:numRef>
              <c:f>Dashboard!$O$5:$O$6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5"/>
      </c:doughnutChart>
    </c:plotArea>
    <c:legend>
      <c:legendPos val="b"/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AKUMULASI SURPLUS vs DEFISIT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Nilai</c:v>
          </c:tx>
          <c:spPr>
            <a:solidFill>
              <a:srgbClr val="54823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48235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&quot;Rp&quot;#,##0" sourceLinked="0"/>
            <c:txPr>
              <a:bodyPr/>
              <a:lstStyle/>
              <a:p>
                <a:pPr lvl="0">
                  <a:defRPr b="1" i="0" sz="1100">
                    <a:solidFill>
                      <a:srgbClr val="262626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Dashboard!$N$8:$N$9</c:f>
            </c:strRef>
          </c:cat>
          <c:val>
            <c:numRef>
              <c:f>Dashboard!$O$8:$O$9</c:f>
              <c:numCache/>
            </c:numRef>
          </c:val>
        </c:ser>
        <c:axId val="2105502397"/>
        <c:axId val="688512801"/>
      </c:barChart>
      <c:catAx>
        <c:axId val="21055023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200">
                <a:solidFill>
                  <a:srgbClr val="262626"/>
                </a:solidFill>
                <a:latin typeface="Calibri"/>
              </a:defRPr>
            </a:pPr>
          </a:p>
        </c:txPr>
        <c:crossAx val="688512801"/>
      </c:catAx>
      <c:valAx>
        <c:axId val="68851280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05502397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Aktual Pangan and Pagu Pangan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Grafik!$B$4:$B$5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Grafik!$B$6:$B$36</c:f>
              <c:numCache/>
            </c:numRef>
          </c:val>
          <c:smooth val="1"/>
        </c:ser>
        <c:ser>
          <c:idx val="1"/>
          <c:order val="1"/>
          <c:tx>
            <c:strRef>
              <c:f>Grafik!$C$4:$C$5</c:f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Grafik!$C$6:$C$36</c:f>
              <c:numCache/>
            </c:numRef>
          </c:val>
          <c:smooth val="1"/>
        </c:ser>
        <c:axId val="153487032"/>
        <c:axId val="605778602"/>
      </c:lineChart>
      <c:catAx>
        <c:axId val="153487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Tgl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05778602"/>
      </c:catAx>
      <c:valAx>
        <c:axId val="6057786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348703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Tren Harian: Operasional (Aktual vs Pagu)</a:t>
            </a:r>
          </a:p>
        </c:rich>
      </c:tx>
      <c:overlay val="0"/>
    </c:title>
    <c:plotArea>
      <c:layout/>
      <c:lineChart>
        <c:ser>
          <c:idx val="0"/>
          <c:order val="0"/>
          <c:tx>
            <c:v>Aktual Operasional</c:v>
          </c:tx>
          <c:spPr>
            <a:ln cmpd="sng" w="28575">
              <a:solidFill>
                <a:srgbClr val="ED7D31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ED7D31">
                  <a:alpha val="100000"/>
                </a:srgbClr>
              </a:solidFill>
              <a:ln cmpd="sng">
                <a:solidFill>
                  <a:srgbClr val="ED7D31">
                    <a:alpha val="100000"/>
                  </a:srgbClr>
                </a:solidFill>
              </a:ln>
            </c:spPr>
          </c:marker>
          <c:cat>
            <c:strRef>
              <c:f>Grafik!$A$6:$A$36</c:f>
            </c:strRef>
          </c:cat>
          <c:val>
            <c:numRef>
              <c:f>Grafik!$D$6:$D$36</c:f>
              <c:numCache/>
            </c:numRef>
          </c:val>
          <c:smooth val="0"/>
        </c:ser>
        <c:ser>
          <c:idx val="1"/>
          <c:order val="1"/>
          <c:tx>
            <c:v>Pagu Operasional</c:v>
          </c:tx>
          <c:spPr>
            <a:ln cmpd="sng" w="19050">
              <a:solidFill>
                <a:srgbClr val="F4B183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Grafik!$E$6:$E$36</c:f>
              <c:numCache/>
            </c:numRef>
          </c:val>
          <c:smooth val="0"/>
        </c:ser>
        <c:axId val="2115846583"/>
        <c:axId val="1484575429"/>
      </c:lineChart>
      <c:catAx>
        <c:axId val="2115846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d/mm" sourceLinked="0"/>
        <c:majorTickMark val="out"/>
        <c:minorTickMark val="cross"/>
        <c:spPr/>
        <c:txPr>
          <a:bodyPr rot="-2700000"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484575429"/>
      </c:catAx>
      <c:valAx>
        <c:axId val="14845754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15846583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Surplus vs Defisit Harian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Surplus (Rp)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cat>
            <c:strRef>
              <c:f>Grafik!$A$40:$A$70</c:f>
            </c:strRef>
          </c:cat>
          <c:val>
            <c:numRef>
              <c:f>Grafik!$B$40:$B$70</c:f>
              <c:numCache/>
            </c:numRef>
          </c:val>
        </c:ser>
        <c:ser>
          <c:idx val="1"/>
          <c:order val="1"/>
          <c:tx>
            <c:v>Defisit (Rp)</c:v>
          </c:tx>
          <c:spPr>
            <a:solidFill>
              <a:srgbClr val="C00000"/>
            </a:solidFill>
            <a:ln cmpd="sng">
              <a:solidFill>
                <a:srgbClr val="000000"/>
              </a:solidFill>
            </a:ln>
          </c:spPr>
          <c:cat>
            <c:strRef>
              <c:f>Grafik!$A$40:$A$70</c:f>
            </c:strRef>
          </c:cat>
          <c:val>
            <c:numRef>
              <c:f>Grafik!$C$40:$C$70</c:f>
              <c:numCache/>
            </c:numRef>
          </c:val>
        </c:ser>
        <c:axId val="334332721"/>
        <c:axId val="185887123"/>
      </c:barChart>
      <c:catAx>
        <c:axId val="334332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d/mm" sourceLinked="0"/>
        <c:majorTickMark val="out"/>
        <c:minorTickMark val="cross"/>
        <c:spPr/>
        <c:txPr>
          <a:bodyPr rot="-2700000"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85887123"/>
      </c:catAx>
      <c:valAx>
        <c:axId val="1858871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34332721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Rekap Mingguan - Aktual vs Pagu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Aktual Pangan</c:v>
          </c:tx>
          <c:spPr>
            <a:solidFill>
              <a:srgbClr val="548235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Grafik!$B$74:$B$78</c:f>
              <c:numCache/>
            </c:numRef>
          </c:val>
        </c:ser>
        <c:ser>
          <c:idx val="1"/>
          <c:order val="1"/>
          <c:tx>
            <c:v>Pagu Pangan</c:v>
          </c:tx>
          <c:spPr>
            <a:solidFill>
              <a:srgbClr val="A9D18E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Grafik!$C$74:$C$78</c:f>
              <c:numCache/>
            </c:numRef>
          </c:val>
        </c:ser>
        <c:ser>
          <c:idx val="2"/>
          <c:order val="2"/>
          <c:tx>
            <c:v>Aktual Operasional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Grafik!$D$74:$D$78</c:f>
              <c:numCache/>
            </c:numRef>
          </c:val>
        </c:ser>
        <c:ser>
          <c:idx val="3"/>
          <c:order val="3"/>
          <c:tx>
            <c:v>Pagu Operasional</c:v>
          </c:tx>
          <c:spPr>
            <a:solidFill>
              <a:srgbClr val="F4B183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Grafik!$E$74:$E$78</c:f>
              <c:numCache/>
            </c:numRef>
          </c:val>
        </c:ser>
        <c:axId val="1320436397"/>
        <c:axId val="1663237288"/>
      </c:barChart>
      <c:catAx>
        <c:axId val="13204363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cross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63237288"/>
      </c:catAx>
      <c:valAx>
        <c:axId val="16632372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20436397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Komposisi Pengeluaran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Grafik!$B$81</c:f>
            </c:strRef>
          </c:tx>
          <c:dPt>
            <c:idx val="0"/>
            <c:spPr>
              <a:solidFill>
                <a:srgbClr val="54823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Grafik!$A$82:$A$83</c:f>
            </c:strRef>
          </c:cat>
          <c:val>
            <c:numRef>
              <c:f>Grafik!$B$82:$B$83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0</xdr:rowOff>
    </xdr:from>
    <xdr:ext cx="4133850" cy="3800475"/>
    <xdr:graphicFrame>
      <xdr:nvGraphicFramePr>
        <xdr:cNvPr id="13862080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23</xdr:row>
      <xdr:rowOff>0</xdr:rowOff>
    </xdr:from>
    <xdr:ext cx="4133850" cy="4400550"/>
    <xdr:graphicFrame>
      <xdr:nvGraphicFramePr>
        <xdr:cNvPr id="131143493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086600" cy="4248150"/>
    <xdr:graphicFrame>
      <xdr:nvGraphicFramePr>
        <xdr:cNvPr id="60957237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23</xdr:row>
      <xdr:rowOff>0</xdr:rowOff>
    </xdr:from>
    <xdr:ext cx="7086600" cy="4200525"/>
    <xdr:graphicFrame>
      <xdr:nvGraphicFramePr>
        <xdr:cNvPr id="20971099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0</xdr:colOff>
      <xdr:row>45</xdr:row>
      <xdr:rowOff>0</xdr:rowOff>
    </xdr:from>
    <xdr:ext cx="7086600" cy="4200525"/>
    <xdr:graphicFrame>
      <xdr:nvGraphicFramePr>
        <xdr:cNvPr id="21692121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67</xdr:row>
      <xdr:rowOff>0</xdr:rowOff>
    </xdr:from>
    <xdr:ext cx="7086600" cy="4200525"/>
    <xdr:graphicFrame>
      <xdr:nvGraphicFramePr>
        <xdr:cNvPr id="31834729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0</xdr:colOff>
      <xdr:row>89</xdr:row>
      <xdr:rowOff>0</xdr:rowOff>
    </xdr:from>
    <xdr:ext cx="4724400" cy="4200525"/>
    <xdr:graphicFrame>
      <xdr:nvGraphicFramePr>
        <xdr:cNvPr id="959273074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7.0"/>
    <col customWidth="1" min="2" max="2" width="28.43"/>
    <col customWidth="1" min="3" max="3" width="27.29"/>
    <col customWidth="1" min="4" max="4" width="25.86"/>
    <col customWidth="1" min="5" max="14" width="8.86"/>
    <col customWidth="1" min="16" max="26" width="8.86"/>
  </cols>
  <sheetData>
    <row r="1" ht="31.5" customHeight="1">
      <c r="A1" s="1" t="s">
        <v>0</v>
      </c>
    </row>
    <row r="2" ht="19.5" customHeight="1">
      <c r="A2" s="2" t="s">
        <v>1</v>
      </c>
    </row>
    <row r="3">
      <c r="A3" s="3" t="s">
        <v>2</v>
      </c>
      <c r="B3" s="4" t="str">
        <f>TEXT(Pengaturan!B3,"dd mmm yyyy")&amp;" s/d "&amp;TEXT(Pengaturan!B4,"dd mmm yyyy")</f>
        <v>27 Oct 2025 s/d 08 Nov 2025</v>
      </c>
    </row>
    <row r="5">
      <c r="A5" s="5" t="s">
        <v>3</v>
      </c>
      <c r="B5" s="5" t="s">
        <v>4</v>
      </c>
      <c r="C5" s="5" t="s">
        <v>5</v>
      </c>
      <c r="D5" s="5" t="s">
        <v>6</v>
      </c>
      <c r="N5" s="3" t="s">
        <v>7</v>
      </c>
      <c r="O5" s="6">
        <f>IFERROR(B30,0)</f>
        <v>510738571</v>
      </c>
    </row>
    <row r="6">
      <c r="A6" s="7">
        <f>Pengaturan!B10</f>
        <v>552012000</v>
      </c>
      <c r="B6" s="8">
        <f>SUM('Rekap Harian'!$F$6:$F$36)+SUM('Rekap Harian'!$I$6:$I$36)</f>
        <v>510738571</v>
      </c>
      <c r="C6" s="9">
        <f>A6-B6</f>
        <v>41273429</v>
      </c>
      <c r="D6" s="10">
        <f>IF(A6=0,0,B6/A6)</f>
        <v>0.9252309207</v>
      </c>
      <c r="N6" s="3" t="s">
        <v>8</v>
      </c>
      <c r="O6" s="6">
        <f>IFERROR(MAX(0,B31),0)</f>
        <v>41273429</v>
      </c>
    </row>
    <row r="8">
      <c r="A8" s="11" t="s">
        <v>9</v>
      </c>
      <c r="N8" s="3" t="s">
        <v>10</v>
      </c>
      <c r="O8" s="6">
        <f>IFERROR(B44,0)</f>
        <v>151186929</v>
      </c>
    </row>
    <row r="9">
      <c r="A9" s="3" t="s">
        <v>11</v>
      </c>
      <c r="B9" s="12">
        <f>IFERROR(B14/Pengaturan!B5,0)</f>
        <v>25639930.77</v>
      </c>
      <c r="N9" s="3" t="s">
        <v>12</v>
      </c>
      <c r="O9" s="6">
        <f>IFERROR(ABS(B45),0)</f>
        <v>109913500</v>
      </c>
    </row>
    <row r="10">
      <c r="A10" s="3" t="s">
        <v>13</v>
      </c>
      <c r="B10" s="12">
        <f>Pengaturan!B13</f>
        <v>28234000</v>
      </c>
    </row>
    <row r="11">
      <c r="A11" s="3" t="s">
        <v>14</v>
      </c>
      <c r="B11" s="13">
        <f>B10-B9</f>
        <v>2594069.231</v>
      </c>
      <c r="C11" s="14"/>
    </row>
    <row r="13">
      <c r="A13" s="3" t="s">
        <v>15</v>
      </c>
      <c r="B13" s="12">
        <f>Pengaturan!B8</f>
        <v>372312000</v>
      </c>
    </row>
    <row r="14">
      <c r="A14" s="3" t="s">
        <v>16</v>
      </c>
      <c r="B14" s="6">
        <f>SUM('Rekap Harian'!$F$6:$F$36)</f>
        <v>333319100</v>
      </c>
    </row>
    <row r="15">
      <c r="A15" s="3" t="s">
        <v>17</v>
      </c>
      <c r="B15" s="13">
        <f>B13-B14</f>
        <v>38992900</v>
      </c>
    </row>
    <row r="16">
      <c r="A16" s="3" t="s">
        <v>18</v>
      </c>
      <c r="B16" s="15">
        <f>IF(B13=0,0,B14/B13)</f>
        <v>0.8952682159</v>
      </c>
    </row>
    <row r="18">
      <c r="A18" s="16" t="s">
        <v>19</v>
      </c>
      <c r="D18" s="17"/>
    </row>
    <row r="19">
      <c r="A19" s="3" t="s">
        <v>20</v>
      </c>
      <c r="B19" s="12">
        <f>IFERROR(B24/Pengaturan!B5,0)</f>
        <v>13647651.62</v>
      </c>
    </row>
    <row r="20">
      <c r="A20" s="3" t="s">
        <v>21</v>
      </c>
      <c r="B20" s="12">
        <f>Pengaturan!B14</f>
        <v>9033000</v>
      </c>
    </row>
    <row r="21" ht="15.75" customHeight="1">
      <c r="A21" s="3" t="s">
        <v>22</v>
      </c>
      <c r="B21" s="13">
        <f>B20-B19</f>
        <v>-4614651.615</v>
      </c>
      <c r="C21" s="14"/>
    </row>
    <row r="22" ht="15.75" customHeight="1"/>
    <row r="23" ht="15.75" customHeight="1">
      <c r="A23" s="3" t="s">
        <v>23</v>
      </c>
      <c r="B23" s="12">
        <f>Pengaturan!B9</f>
        <v>179700000</v>
      </c>
    </row>
    <row r="24" ht="15.75" customHeight="1">
      <c r="A24" s="3" t="s">
        <v>24</v>
      </c>
      <c r="B24" s="6">
        <f>SUM('Rekap Harian'!$I$6:$I$36)</f>
        <v>177419471</v>
      </c>
    </row>
    <row r="25" ht="15.75" customHeight="1">
      <c r="A25" s="3" t="s">
        <v>25</v>
      </c>
      <c r="B25" s="13">
        <f>B23-B24</f>
        <v>2280529</v>
      </c>
    </row>
    <row r="26" ht="15.75" customHeight="1">
      <c r="A26" s="3" t="s">
        <v>26</v>
      </c>
      <c r="B26" s="15">
        <f>IF(B23=0,0,B24/B23)</f>
        <v>0.9873092432</v>
      </c>
    </row>
    <row r="27" ht="15.75" customHeight="1"/>
    <row r="28" ht="15.75" customHeight="1">
      <c r="A28" s="18" t="s">
        <v>27</v>
      </c>
    </row>
    <row r="29" ht="15.75" customHeight="1">
      <c r="A29" s="3" t="s">
        <v>28</v>
      </c>
      <c r="B29" s="12">
        <f t="shared" ref="B29:B30" si="1">B13+B23</f>
        <v>552012000</v>
      </c>
    </row>
    <row r="30" ht="15.75" customHeight="1">
      <c r="A30" s="3" t="s">
        <v>29</v>
      </c>
      <c r="B30" s="12">
        <f t="shared" si="1"/>
        <v>510738571</v>
      </c>
    </row>
    <row r="31" ht="15.75" customHeight="1">
      <c r="A31" s="3" t="s">
        <v>30</v>
      </c>
      <c r="B31" s="19">
        <f>B29-B30</f>
        <v>41273429</v>
      </c>
    </row>
    <row r="32" ht="15.75" customHeight="1">
      <c r="A32" s="3" t="s">
        <v>31</v>
      </c>
      <c r="B32" s="15">
        <f>IF(B29=0,0,B30/B29)</f>
        <v>0.9252309207</v>
      </c>
    </row>
    <row r="33" ht="15.75" customHeight="1"/>
    <row r="34" ht="15.75" customHeight="1">
      <c r="A34" s="3" t="s">
        <v>32</v>
      </c>
      <c r="B34" s="12">
        <f>B9+B19</f>
        <v>39287582.38</v>
      </c>
    </row>
    <row r="35" ht="15.75" customHeight="1">
      <c r="A35" s="3" t="s">
        <v>33</v>
      </c>
      <c r="B35" s="12">
        <f>Pengaturan!B15</f>
        <v>37267000</v>
      </c>
    </row>
    <row r="36" ht="15.75" customHeight="1">
      <c r="A36" s="3" t="s">
        <v>34</v>
      </c>
      <c r="B36" s="13">
        <f>B35-B34</f>
        <v>-2020582.385</v>
      </c>
      <c r="C36" s="14"/>
    </row>
    <row r="37" ht="15.75" customHeight="1"/>
    <row r="38" ht="15.75" customHeight="1">
      <c r="A38" s="16" t="s">
        <v>35</v>
      </c>
    </row>
    <row r="39" ht="15.75" customHeight="1">
      <c r="A39" s="3" t="s">
        <v>36</v>
      </c>
      <c r="B39" s="4">
        <f>COUNTIF('Rekap Harian'!N6:N36,"SURPLUS")</f>
        <v>10</v>
      </c>
    </row>
    <row r="40" ht="15.75" customHeight="1">
      <c r="A40" s="3" t="s">
        <v>37</v>
      </c>
      <c r="B40" s="4">
        <f>COUNTIF('Rekap Harian'!N6:N36,"DEFISIT")</f>
        <v>2</v>
      </c>
    </row>
    <row r="41" ht="15.75" customHeight="1">
      <c r="A41" s="3" t="s">
        <v>38</v>
      </c>
      <c r="B41" s="4">
        <f>COUNTIF('Rekap Harian'!N6:N36,"AMAN")</f>
        <v>1</v>
      </c>
    </row>
    <row r="42" ht="15.75" customHeight="1">
      <c r="A42" s="3" t="s">
        <v>39</v>
      </c>
      <c r="B42" s="4">
        <f>COUNTIF('Rekap Harian'!N6:N36,"BELUM")</f>
        <v>0</v>
      </c>
    </row>
    <row r="43" ht="15.75" customHeight="1"/>
    <row r="44" ht="15.75" customHeight="1">
      <c r="A44" s="3" t="s">
        <v>40</v>
      </c>
      <c r="B44" s="20">
        <f>SUMIF('Rekap Harian'!M6:M36,"&gt;0")</f>
        <v>151186929</v>
      </c>
    </row>
    <row r="45" ht="15.75" customHeight="1">
      <c r="A45" s="3" t="s">
        <v>41</v>
      </c>
      <c r="B45" s="6">
        <f>SUMIF('Rekap Harian'!M6:M36,"&lt;0")</f>
        <v>-109913500</v>
      </c>
    </row>
    <row r="46" ht="15.75" customHeight="1">
      <c r="A46" s="3" t="s">
        <v>42</v>
      </c>
      <c r="B46" s="19">
        <f>B44+B45</f>
        <v>41273429</v>
      </c>
    </row>
    <row r="47" ht="21.0" customHeight="1">
      <c r="A47" s="3" t="s">
        <v>43</v>
      </c>
      <c r="B47" s="15">
        <f>IFERROR(B46/SUM('Rekap Harian'!$K$6:$K$36),0)</f>
        <v>0.0747690793</v>
      </c>
    </row>
    <row r="48" ht="15.75" customHeight="1">
      <c r="A48" s="3" t="s">
        <v>44</v>
      </c>
      <c r="B48" s="6">
        <f>MAX('Rekap Harian'!L6:L36)</f>
        <v>131157000</v>
      </c>
    </row>
    <row r="49" ht="15.75" customHeight="1">
      <c r="A49" s="3" t="s">
        <v>45</v>
      </c>
      <c r="B49" s="20">
        <f>IFERROR(_xludf.MINIFS('Rekap Harian'!L6:L36,'Rekap Harian'!L6:L36,"&gt;0"),0)</f>
        <v>0</v>
      </c>
    </row>
    <row r="50" ht="15.75" customHeight="1"/>
    <row r="51" ht="15.75" customHeight="1">
      <c r="A51" s="3" t="s">
        <v>46</v>
      </c>
    </row>
    <row r="52" ht="15.75" customHeight="1">
      <c r="A52" s="14" t="s">
        <v>47</v>
      </c>
    </row>
    <row r="53" ht="15.75" customHeight="1">
      <c r="A53" s="14" t="s">
        <v>48</v>
      </c>
    </row>
    <row r="54" ht="15.75" customHeight="1">
      <c r="A54" s="14" t="s">
        <v>49</v>
      </c>
    </row>
    <row r="55" ht="15.75" customHeight="1">
      <c r="A55" s="14" t="s">
        <v>50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5.0"/>
    <col customWidth="1" min="2" max="2" width="27.29"/>
    <col customWidth="1" min="3" max="3" width="15.43"/>
    <col customWidth="1" min="4" max="4" width="9.71"/>
    <col customWidth="1" min="5" max="5" width="16.0"/>
    <col customWidth="1" min="6" max="6" width="16.86"/>
    <col customWidth="1" min="7" max="7" width="17.86"/>
    <col customWidth="1" min="8" max="8" width="20.57"/>
    <col customWidth="1" min="9" max="9" width="21.29"/>
    <col customWidth="1" min="10" max="10" width="20.86"/>
    <col customWidth="1" min="11" max="11" width="14.57"/>
    <col customWidth="1" min="12" max="12" width="16.0"/>
    <col customWidth="1" min="13" max="13" width="18.0"/>
    <col customWidth="1" min="14" max="14" width="14.0"/>
    <col customWidth="1" min="15" max="15" width="33.0"/>
    <col customWidth="1" min="16" max="16" width="15.71"/>
    <col customWidth="1" min="17" max="26" width="8.86"/>
  </cols>
  <sheetData>
    <row r="1" ht="31.5" customHeight="1">
      <c r="A1" s="1" t="s">
        <v>51</v>
      </c>
    </row>
    <row r="2" ht="19.5" customHeight="1">
      <c r="A2" s="21" t="s">
        <v>52</v>
      </c>
    </row>
    <row r="3">
      <c r="A3" s="3" t="s">
        <v>2</v>
      </c>
      <c r="B3" s="4" t="str">
        <f>TEXT(Pengaturan!B3,"dd mmm yyyy")&amp;" s/d "&amp;TEXT(Pengaturan!B4,"dd mmm yyyy")</f>
        <v>27 Oct 2025 s/d 08 Nov 2025</v>
      </c>
    </row>
    <row r="5">
      <c r="A5" s="18" t="s">
        <v>53</v>
      </c>
      <c r="B5" s="18" t="s">
        <v>54</v>
      </c>
      <c r="C5" s="18" t="s">
        <v>55</v>
      </c>
      <c r="D5" s="18" t="s">
        <v>56</v>
      </c>
      <c r="E5" s="11" t="s">
        <v>57</v>
      </c>
      <c r="F5" s="11" t="s">
        <v>58</v>
      </c>
      <c r="G5" s="11" t="s">
        <v>59</v>
      </c>
      <c r="H5" s="16" t="s">
        <v>60</v>
      </c>
      <c r="I5" s="16" t="s">
        <v>61</v>
      </c>
      <c r="J5" s="16" t="s">
        <v>62</v>
      </c>
      <c r="K5" s="18" t="s">
        <v>63</v>
      </c>
      <c r="L5" s="18" t="s">
        <v>64</v>
      </c>
      <c r="M5" s="18" t="s">
        <v>65</v>
      </c>
      <c r="N5" s="18" t="s">
        <v>66</v>
      </c>
      <c r="O5" s="18" t="s">
        <v>67</v>
      </c>
      <c r="P5" s="18" t="s">
        <v>68</v>
      </c>
    </row>
    <row r="6">
      <c r="A6" s="4">
        <v>1.0</v>
      </c>
      <c r="B6" s="22">
        <f>IF(Pengaturan!$B$3+0&gt;Pengaturan!$B$4,"",Pengaturan!$B$3+0)</f>
        <v>45957</v>
      </c>
      <c r="C6" s="4" t="str">
        <f t="shared" ref="C6:C36" si="1">IF(B6="","",TEXT(B6,"dddd"))</f>
        <v>Monday</v>
      </c>
      <c r="D6" s="4">
        <f>IF(B6="","",INT((B6-Pengaturan!$B$3)/7)+1)</f>
        <v>1</v>
      </c>
      <c r="E6" s="23">
        <f>IFERROR(VLOOKUP(B6,'Pagu Harian'!$A$4:$D$40,2,FALSE),Pengaturan!$B$13)</f>
        <v>31026000</v>
      </c>
      <c r="F6" s="24">
        <v>2.28935E7</v>
      </c>
      <c r="G6" s="13">
        <f t="shared" ref="G6:G11" si="2">IF(B6="",0,E6-IF(F6="",0,F6))</f>
        <v>8132500</v>
      </c>
      <c r="H6" s="23">
        <f>IFERROR(VLOOKUP(B6,'Pagu Harian'!$A$4:$D$40,3,FALSE),Pengaturan!$B$14)</f>
        <v>14975000</v>
      </c>
      <c r="I6" s="24">
        <v>3202871.0</v>
      </c>
      <c r="J6" s="13">
        <f t="shared" ref="J6:J11" si="3">IF(B6="",0,H6-IF(I6="",0,I6))</f>
        <v>11772129</v>
      </c>
      <c r="K6" s="25">
        <f t="shared" ref="K6:K11" si="4">E6+H6</f>
        <v>46001000</v>
      </c>
      <c r="L6" s="25">
        <f t="shared" ref="L6:L36" si="5">IF(F6="",0,F6)+IF(I6="",0,I6)</f>
        <v>26096371</v>
      </c>
      <c r="M6" s="13">
        <f t="shared" ref="M6:M11" si="6">K6-L6</f>
        <v>19904629</v>
      </c>
      <c r="N6" s="26" t="str">
        <f t="shared" ref="N6:N36" si="7">IF(B6="","",IF(AND(F6="",I6=""),"BELUM",IF(M6&gt;0,"SURPLUS",IF(M6&lt;0,"DEFISIT","AMAN"))))</f>
        <v>SURPLUS</v>
      </c>
      <c r="O6" s="27" t="s">
        <v>69</v>
      </c>
    </row>
    <row r="7">
      <c r="A7" s="4">
        <v>2.0</v>
      </c>
      <c r="B7" s="22">
        <f>IF(Pengaturan!$B$3+1&gt;Pengaturan!$B$4,"",Pengaturan!$B$3+1)</f>
        <v>45958</v>
      </c>
      <c r="C7" s="4" t="str">
        <f t="shared" si="1"/>
        <v>Tuesday</v>
      </c>
      <c r="D7" s="4">
        <f>IF(B7="","",INT((B7-Pengaturan!$B$3)/7)+1)</f>
        <v>1</v>
      </c>
      <c r="E7" s="23">
        <f>IFERROR(VLOOKUP(B7,'Pagu Harian'!$A$4:$D$40,2,FALSE),Pengaturan!$B$13)</f>
        <v>31026000</v>
      </c>
      <c r="F7" s="24">
        <v>2.47455E7</v>
      </c>
      <c r="G7" s="13">
        <f t="shared" si="2"/>
        <v>6280500</v>
      </c>
      <c r="H7" s="23">
        <f>IFERROR(VLOOKUP(B7,'Pagu Harian'!$A$4:$D$40,3,FALSE),Pengaturan!$B$14)</f>
        <v>14975000</v>
      </c>
      <c r="I7" s="24">
        <v>1880000.0</v>
      </c>
      <c r="J7" s="13">
        <f t="shared" si="3"/>
        <v>13095000</v>
      </c>
      <c r="K7" s="25">
        <f t="shared" si="4"/>
        <v>46001000</v>
      </c>
      <c r="L7" s="25">
        <f t="shared" si="5"/>
        <v>26625500</v>
      </c>
      <c r="M7" s="13">
        <f t="shared" si="6"/>
        <v>19375500</v>
      </c>
      <c r="N7" s="26" t="str">
        <f t="shared" si="7"/>
        <v>SURPLUS</v>
      </c>
      <c r="O7" s="27" t="s">
        <v>69</v>
      </c>
    </row>
    <row r="8">
      <c r="A8" s="4">
        <v>3.0</v>
      </c>
      <c r="B8" s="22">
        <f>IF(Pengaturan!$B$3+2&gt;Pengaturan!$B$4,"",Pengaturan!$B$3+2)</f>
        <v>45959</v>
      </c>
      <c r="C8" s="4" t="str">
        <f t="shared" si="1"/>
        <v>Wednesday</v>
      </c>
      <c r="D8" s="4">
        <f>IF(B8="","",INT((B8-Pengaturan!$B$3)/7)+1)</f>
        <v>1</v>
      </c>
      <c r="E8" s="23">
        <f>IFERROR(VLOOKUP(B8,'Pagu Harian'!$A$4:$D$40,2,FALSE),Pengaturan!$B$13)</f>
        <v>31026000</v>
      </c>
      <c r="F8" s="24">
        <v>3.43235E7</v>
      </c>
      <c r="G8" s="13">
        <f t="shared" si="2"/>
        <v>-3297500</v>
      </c>
      <c r="H8" s="23">
        <f>IFERROR(VLOOKUP(B8,'Pagu Harian'!$A$4:$D$40,3,FALSE),Pengaturan!$B$14)</f>
        <v>14975000</v>
      </c>
      <c r="I8" s="24">
        <v>3439000.0</v>
      </c>
      <c r="J8" s="13">
        <f t="shared" si="3"/>
        <v>11536000</v>
      </c>
      <c r="K8" s="25">
        <f t="shared" si="4"/>
        <v>46001000</v>
      </c>
      <c r="L8" s="25">
        <f t="shared" si="5"/>
        <v>37762500</v>
      </c>
      <c r="M8" s="13">
        <f t="shared" si="6"/>
        <v>8238500</v>
      </c>
      <c r="N8" s="26" t="str">
        <f t="shared" si="7"/>
        <v>SURPLUS</v>
      </c>
      <c r="O8" s="27" t="s">
        <v>69</v>
      </c>
    </row>
    <row r="9">
      <c r="A9" s="4">
        <v>4.0</v>
      </c>
      <c r="B9" s="22">
        <f>IF(Pengaturan!$B$3+3&gt;Pengaturan!$B$4,"",Pengaturan!$B$3+3)</f>
        <v>45960</v>
      </c>
      <c r="C9" s="4" t="str">
        <f t="shared" si="1"/>
        <v>Thursday</v>
      </c>
      <c r="D9" s="4">
        <f>IF(B9="","",INT((B9-Pengaturan!$B$3)/7)+1)</f>
        <v>1</v>
      </c>
      <c r="E9" s="23">
        <f>IFERROR(VLOOKUP(B9,'Pagu Harian'!$A$4:$D$40,2,FALSE),Pengaturan!$B$13)</f>
        <v>31026000</v>
      </c>
      <c r="F9" s="24">
        <v>3.1432E7</v>
      </c>
      <c r="G9" s="13">
        <f t="shared" si="2"/>
        <v>-406000</v>
      </c>
      <c r="H9" s="23">
        <f>IFERROR(VLOOKUP(B9,'Pagu Harian'!$A$4:$D$40,3,FALSE),Pengaturan!$B$14)</f>
        <v>14975000</v>
      </c>
      <c r="I9" s="24">
        <v>1880000.0</v>
      </c>
      <c r="J9" s="13">
        <f t="shared" si="3"/>
        <v>13095000</v>
      </c>
      <c r="K9" s="25">
        <f t="shared" si="4"/>
        <v>46001000</v>
      </c>
      <c r="L9" s="25">
        <f t="shared" si="5"/>
        <v>33312000</v>
      </c>
      <c r="M9" s="13">
        <f t="shared" si="6"/>
        <v>12689000</v>
      </c>
      <c r="N9" s="26" t="str">
        <f t="shared" si="7"/>
        <v>SURPLUS</v>
      </c>
      <c r="O9" s="27" t="s">
        <v>69</v>
      </c>
    </row>
    <row r="10">
      <c r="A10" s="4">
        <v>5.0</v>
      </c>
      <c r="B10" s="22">
        <f>IF(Pengaturan!$B$3+4&gt;Pengaturan!$B$4,"",Pengaturan!$B$3+4)</f>
        <v>45961</v>
      </c>
      <c r="C10" s="4" t="str">
        <f t="shared" si="1"/>
        <v>Friday</v>
      </c>
      <c r="D10" s="4">
        <f>IF(B10="","",INT((B10-Pengaturan!$B$3)/7)+1)</f>
        <v>1</v>
      </c>
      <c r="E10" s="23">
        <f>IFERROR(VLOOKUP(B10,'Pagu Harian'!$A$4:$D$40,2,FALSE),Pengaturan!$B$13)</f>
        <v>31026000</v>
      </c>
      <c r="F10" s="24">
        <v>2.47135E7</v>
      </c>
      <c r="G10" s="13">
        <f t="shared" si="2"/>
        <v>6312500</v>
      </c>
      <c r="H10" s="23">
        <f>IFERROR(VLOOKUP(B10,'Pagu Harian'!$A$4:$D$40,3,FALSE),Pengaturan!$B$14)</f>
        <v>14975000</v>
      </c>
      <c r="I10" s="24">
        <v>3364000.0</v>
      </c>
      <c r="J10" s="13">
        <f t="shared" si="3"/>
        <v>11611000</v>
      </c>
      <c r="K10" s="25">
        <f t="shared" si="4"/>
        <v>46001000</v>
      </c>
      <c r="L10" s="25">
        <f t="shared" si="5"/>
        <v>28077500</v>
      </c>
      <c r="M10" s="13">
        <f t="shared" si="6"/>
        <v>17923500</v>
      </c>
      <c r="N10" s="26" t="str">
        <f t="shared" si="7"/>
        <v>SURPLUS</v>
      </c>
      <c r="O10" s="28" t="s">
        <v>69</v>
      </c>
      <c r="P10" s="27"/>
    </row>
    <row r="11">
      <c r="A11" s="4">
        <v>6.0</v>
      </c>
      <c r="B11" s="22">
        <f>IF(Pengaturan!$B$3+5&gt;Pengaturan!$B$4,"",Pengaturan!$B$3+5)</f>
        <v>45962</v>
      </c>
      <c r="C11" s="4" t="str">
        <f t="shared" si="1"/>
        <v>Saturday</v>
      </c>
      <c r="D11" s="4">
        <f>IF(B11="","",INT((B11-Pengaturan!$B$3)/7)+1)</f>
        <v>1</v>
      </c>
      <c r="E11" s="23">
        <f>IFERROR(VLOOKUP(B11,'Pagu Harian'!$A$4:$D$40,2,FALSE),Pengaturan!$B$13)</f>
        <v>31026000</v>
      </c>
      <c r="F11" s="24">
        <v>2.91325E7</v>
      </c>
      <c r="G11" s="13">
        <f t="shared" si="2"/>
        <v>1893500</v>
      </c>
      <c r="H11" s="23">
        <f>IFERROR(VLOOKUP(B11,'Pagu Harian'!$A$4:$D$40,3,FALSE),Pengaturan!$B$14)</f>
        <v>14975000</v>
      </c>
      <c r="I11" s="24">
        <v>4.1626E7</v>
      </c>
      <c r="J11" s="13">
        <f t="shared" si="3"/>
        <v>-26651000</v>
      </c>
      <c r="K11" s="25">
        <f t="shared" si="4"/>
        <v>46001000</v>
      </c>
      <c r="L11" s="25">
        <f t="shared" si="5"/>
        <v>70758500</v>
      </c>
      <c r="M11" s="13">
        <f t="shared" si="6"/>
        <v>-24757500</v>
      </c>
      <c r="N11" s="26" t="str">
        <f t="shared" si="7"/>
        <v>DEFISIT</v>
      </c>
      <c r="O11" s="27" t="s">
        <v>70</v>
      </c>
      <c r="P11" s="27"/>
    </row>
    <row r="12">
      <c r="A12" s="4">
        <v>7.0</v>
      </c>
      <c r="B12" s="22">
        <f>IF(Pengaturan!$B$3+6&gt;Pengaturan!$B$4,"",Pengaturan!$B$3+6)</f>
        <v>45963</v>
      </c>
      <c r="C12" s="4" t="str">
        <f t="shared" si="1"/>
        <v>Sunday</v>
      </c>
      <c r="D12" s="4">
        <f>IF(B12="","",INT((B12-Pengaturan!$B$3)/7)+1)</f>
        <v>1</v>
      </c>
      <c r="E12" s="23">
        <v>0.0</v>
      </c>
      <c r="F12" s="23">
        <v>0.0</v>
      </c>
      <c r="G12" s="13">
        <v>0.0</v>
      </c>
      <c r="H12" s="23">
        <v>0.0</v>
      </c>
      <c r="I12" s="23">
        <v>0.0</v>
      </c>
      <c r="J12" s="13">
        <v>0.0</v>
      </c>
      <c r="K12" s="25">
        <v>0.0</v>
      </c>
      <c r="L12" s="25">
        <f t="shared" si="5"/>
        <v>0</v>
      </c>
      <c r="M12" s="13">
        <v>0.0</v>
      </c>
      <c r="N12" s="26" t="str">
        <f t="shared" si="7"/>
        <v>AMAN</v>
      </c>
      <c r="P12" s="27" t="s">
        <v>71</v>
      </c>
    </row>
    <row r="13">
      <c r="A13" s="4">
        <v>8.0</v>
      </c>
      <c r="B13" s="22">
        <f>IF(Pengaturan!$B$3+7&gt;Pengaturan!$B$4,"",Pengaturan!$B$3+7)</f>
        <v>45964</v>
      </c>
      <c r="C13" s="4" t="str">
        <f t="shared" si="1"/>
        <v>Monday</v>
      </c>
      <c r="D13" s="4">
        <f>IF(B13="","",INT((B13-Pengaturan!$B$3)/7)+1)</f>
        <v>2</v>
      </c>
      <c r="E13" s="23">
        <f>IFERROR(VLOOKUP(B13,'Pagu Harian'!$A$4:$D$40,2,FALSE),Pengaturan!$B$13)</f>
        <v>31026000</v>
      </c>
      <c r="F13" s="29">
        <v>2.6254E7</v>
      </c>
      <c r="G13" s="30">
        <f t="shared" ref="G13:G36" si="8">IF(B13="",0,E13-IF(F13="",0,F13))</f>
        <v>4772000</v>
      </c>
      <c r="H13" s="31">
        <f>IFERROR(VLOOKUP(B13,'Pagu Harian'!$A$4:$D$40,3,FALSE),Pengaturan!$B$14)</f>
        <v>14975000</v>
      </c>
      <c r="I13" s="29">
        <v>2480000.0</v>
      </c>
      <c r="J13" s="13">
        <f t="shared" ref="J13:J36" si="9">IF(B13="",0,H13-IF(I13="",0,I13))</f>
        <v>12495000</v>
      </c>
      <c r="K13" s="25">
        <f t="shared" ref="K13:K36" si="10">E13+H13</f>
        <v>46001000</v>
      </c>
      <c r="L13" s="25">
        <f t="shared" si="5"/>
        <v>28734000</v>
      </c>
      <c r="M13" s="13">
        <f t="shared" ref="M13:M36" si="11">K13-L13</f>
        <v>17267000</v>
      </c>
      <c r="N13" s="26" t="str">
        <f t="shared" si="7"/>
        <v>SURPLUS</v>
      </c>
    </row>
    <row r="14">
      <c r="A14" s="4">
        <v>9.0</v>
      </c>
      <c r="B14" s="22">
        <f>IF(Pengaturan!$B$3+8&gt;Pengaturan!$B$4,"",Pengaturan!$B$3+8)</f>
        <v>45965</v>
      </c>
      <c r="C14" s="4" t="str">
        <f t="shared" si="1"/>
        <v>Tuesday</v>
      </c>
      <c r="D14" s="4">
        <f>IF(B14="","",INT((B14-Pengaturan!$B$3)/7)+1)</f>
        <v>2</v>
      </c>
      <c r="E14" s="23">
        <f>IFERROR(VLOOKUP(B14,'Pagu Harian'!$A$4:$D$40,2,FALSE),Pengaturan!$B$13)</f>
        <v>31026000</v>
      </c>
      <c r="F14" s="29">
        <v>3.00848E7</v>
      </c>
      <c r="G14" s="30">
        <f t="shared" si="8"/>
        <v>941200</v>
      </c>
      <c r="H14" s="31">
        <f>IFERROR(VLOOKUP(B14,'Pagu Harian'!$A$4:$D$40,3,FALSE),Pengaturan!$B$14)</f>
        <v>14975000</v>
      </c>
      <c r="I14" s="29">
        <v>3253000.0</v>
      </c>
      <c r="J14" s="13">
        <f t="shared" si="9"/>
        <v>11722000</v>
      </c>
      <c r="K14" s="25">
        <f t="shared" si="10"/>
        <v>46001000</v>
      </c>
      <c r="L14" s="25">
        <f t="shared" si="5"/>
        <v>33337800</v>
      </c>
      <c r="M14" s="13">
        <f t="shared" si="11"/>
        <v>12663200</v>
      </c>
      <c r="N14" s="26" t="str">
        <f t="shared" si="7"/>
        <v>SURPLUS</v>
      </c>
    </row>
    <row r="15">
      <c r="A15" s="4">
        <v>10.0</v>
      </c>
      <c r="B15" s="22">
        <f>IF(Pengaturan!$B$3+9&gt;Pengaturan!$B$4,"",Pengaturan!$B$3+9)</f>
        <v>45966</v>
      </c>
      <c r="C15" s="4" t="str">
        <f t="shared" si="1"/>
        <v>Wednesday</v>
      </c>
      <c r="D15" s="4">
        <f>IF(B15="","",INT((B15-Pengaturan!$B$3)/7)+1)</f>
        <v>2</v>
      </c>
      <c r="E15" s="23">
        <f>IFERROR(VLOOKUP(B15,'Pagu Harian'!$A$4:$D$40,2,FALSE),Pengaturan!$B$13)</f>
        <v>31026000</v>
      </c>
      <c r="F15" s="29">
        <v>2.81443E7</v>
      </c>
      <c r="G15" s="30">
        <f t="shared" si="8"/>
        <v>2881700</v>
      </c>
      <c r="H15" s="31">
        <f>IFERROR(VLOOKUP(B15,'Pagu Harian'!$A$4:$D$40,3,FALSE),Pengaturan!$B$14)</f>
        <v>14975000</v>
      </c>
      <c r="I15" s="29">
        <v>2968600.0</v>
      </c>
      <c r="J15" s="13">
        <f t="shared" si="9"/>
        <v>12006400</v>
      </c>
      <c r="K15" s="25">
        <f t="shared" si="10"/>
        <v>46001000</v>
      </c>
      <c r="L15" s="25">
        <f t="shared" si="5"/>
        <v>31112900</v>
      </c>
      <c r="M15" s="13">
        <f t="shared" si="11"/>
        <v>14888100</v>
      </c>
      <c r="N15" s="26" t="str">
        <f t="shared" si="7"/>
        <v>SURPLUS</v>
      </c>
    </row>
    <row r="16">
      <c r="A16" s="4">
        <v>11.0</v>
      </c>
      <c r="B16" s="22">
        <f>IF(Pengaturan!$B$3+10&gt;Pengaturan!$B$4,"",Pengaturan!$B$3+10)</f>
        <v>45967</v>
      </c>
      <c r="C16" s="4" t="str">
        <f t="shared" si="1"/>
        <v>Thursday</v>
      </c>
      <c r="D16" s="4">
        <f>IF(B16="","",INT((B16-Pengaturan!$B$3)/7)+1)</f>
        <v>2</v>
      </c>
      <c r="E16" s="23">
        <f>IFERROR(VLOOKUP(B16,'Pagu Harian'!$A$4:$D$40,2,FALSE),Pengaturan!$B$13)</f>
        <v>31026000</v>
      </c>
      <c r="F16" s="29">
        <v>2.2981E7</v>
      </c>
      <c r="G16" s="30">
        <f t="shared" si="8"/>
        <v>8045000</v>
      </c>
      <c r="H16" s="31">
        <f>IFERROR(VLOOKUP(B16,'Pagu Harian'!$A$4:$D$40,3,FALSE),Pengaturan!$B$14)</f>
        <v>14975000</v>
      </c>
      <c r="I16" s="29">
        <v>2944000.0</v>
      </c>
      <c r="J16" s="13">
        <f t="shared" si="9"/>
        <v>12031000</v>
      </c>
      <c r="K16" s="25">
        <f t="shared" si="10"/>
        <v>46001000</v>
      </c>
      <c r="L16" s="25">
        <f t="shared" si="5"/>
        <v>25925000</v>
      </c>
      <c r="M16" s="13">
        <f t="shared" si="11"/>
        <v>20076000</v>
      </c>
      <c r="N16" s="26" t="str">
        <f t="shared" si="7"/>
        <v>SURPLUS</v>
      </c>
      <c r="O16" s="27"/>
    </row>
    <row r="17">
      <c r="A17" s="4">
        <v>12.0</v>
      </c>
      <c r="B17" s="22">
        <f>IF(Pengaturan!$B$3+11&gt;Pengaturan!$B$4,"",Pengaturan!$B$3+11)</f>
        <v>45968</v>
      </c>
      <c r="C17" s="4" t="str">
        <f t="shared" si="1"/>
        <v>Friday</v>
      </c>
      <c r="D17" s="4">
        <f>IF(B17="","",INT((B17-Pengaturan!$B$3)/7)+1)</f>
        <v>2</v>
      </c>
      <c r="E17" s="23">
        <f>IFERROR(VLOOKUP(B17,'Pagu Harian'!$A$4:$D$40,2,FALSE),Pengaturan!$B$13)</f>
        <v>31026000</v>
      </c>
      <c r="F17" s="29">
        <v>3.48305E7</v>
      </c>
      <c r="G17" s="30">
        <f t="shared" si="8"/>
        <v>-3804500</v>
      </c>
      <c r="H17" s="31">
        <f>IFERROR(VLOOKUP(B17,'Pagu Harian'!$A$4:$D$40,3,FALSE),Pengaturan!$B$14)</f>
        <v>14975000</v>
      </c>
      <c r="I17" s="29">
        <v>3009000.0</v>
      </c>
      <c r="J17" s="13">
        <f t="shared" si="9"/>
        <v>11966000</v>
      </c>
      <c r="K17" s="25">
        <f t="shared" si="10"/>
        <v>46001000</v>
      </c>
      <c r="L17" s="25">
        <f t="shared" si="5"/>
        <v>37839500</v>
      </c>
      <c r="M17" s="13">
        <f t="shared" si="11"/>
        <v>8161500</v>
      </c>
      <c r="N17" s="26" t="str">
        <f t="shared" si="7"/>
        <v>SURPLUS</v>
      </c>
    </row>
    <row r="18">
      <c r="A18" s="4">
        <v>13.0</v>
      </c>
      <c r="B18" s="22">
        <f>IF(Pengaturan!$B$3+12&gt;Pengaturan!$B$4,"",Pengaturan!$B$3+12)</f>
        <v>45969</v>
      </c>
      <c r="C18" s="4" t="str">
        <f t="shared" si="1"/>
        <v>Saturday</v>
      </c>
      <c r="D18" s="4">
        <f>IF(B18="","",INT((B18-Pengaturan!$B$3)/7)+1)</f>
        <v>2</v>
      </c>
      <c r="E18" s="23">
        <f>IFERROR(VLOOKUP(B18,'Pagu Harian'!$A$4:$D$40,2,FALSE),Pengaturan!$B$13)</f>
        <v>31026000</v>
      </c>
      <c r="F18" s="32">
        <v>2.3784E7</v>
      </c>
      <c r="G18" s="13">
        <f t="shared" si="8"/>
        <v>7242000</v>
      </c>
      <c r="H18" s="23">
        <f>IFERROR(VLOOKUP(B18,'Pagu Harian'!$A$4:$D$40,3,FALSE),Pengaturan!$B$14)</f>
        <v>14975000</v>
      </c>
      <c r="I18" s="32">
        <v>1.07373E8</v>
      </c>
      <c r="J18" s="13">
        <f t="shared" si="9"/>
        <v>-92398000</v>
      </c>
      <c r="K18" s="25">
        <f t="shared" si="10"/>
        <v>46001000</v>
      </c>
      <c r="L18" s="25">
        <f t="shared" si="5"/>
        <v>131157000</v>
      </c>
      <c r="M18" s="13">
        <f t="shared" si="11"/>
        <v>-85156000</v>
      </c>
      <c r="N18" s="26" t="str">
        <f t="shared" si="7"/>
        <v>DEFISIT</v>
      </c>
      <c r="O18" s="27" t="s">
        <v>72</v>
      </c>
    </row>
    <row r="19">
      <c r="A19" s="4">
        <v>14.0</v>
      </c>
      <c r="B19" s="22" t="str">
        <f>IF(Pengaturan!$B$3+13&gt;Pengaturan!$B$4,"",Pengaturan!$B$3+13)</f>
        <v/>
      </c>
      <c r="C19" s="4" t="str">
        <f t="shared" si="1"/>
        <v/>
      </c>
      <c r="D19" s="4" t="str">
        <f>IF(B19="","",INT((B19-Pengaturan!$B$3)/7)+1)</f>
        <v/>
      </c>
      <c r="E19" s="23" t="str">
        <f>IFERROR(VLOOKUP(B19,'Pagu Harian'!$A$4:$D$40,2,FALSE),Pengaturan!$B$13)</f>
        <v/>
      </c>
      <c r="G19" s="13">
        <f t="shared" si="8"/>
        <v>0</v>
      </c>
      <c r="H19" s="23" t="str">
        <f>IFERROR(VLOOKUP(B19,'Pagu Harian'!$A$4:$D$40,3,FALSE),Pengaturan!$B$14)</f>
        <v/>
      </c>
      <c r="J19" s="13">
        <f t="shared" si="9"/>
        <v>0</v>
      </c>
      <c r="K19" s="25">
        <f t="shared" si="10"/>
        <v>0</v>
      </c>
      <c r="L19" s="25">
        <f t="shared" si="5"/>
        <v>0</v>
      </c>
      <c r="M19" s="13">
        <f t="shared" si="11"/>
        <v>0</v>
      </c>
      <c r="N19" s="26" t="str">
        <f t="shared" si="7"/>
        <v/>
      </c>
    </row>
    <row r="20">
      <c r="A20" s="4">
        <v>15.0</v>
      </c>
      <c r="B20" s="22" t="str">
        <f>IF(Pengaturan!$B$3+14&gt;Pengaturan!$B$4,"",Pengaturan!$B$3+14)</f>
        <v/>
      </c>
      <c r="C20" s="4" t="str">
        <f t="shared" si="1"/>
        <v/>
      </c>
      <c r="D20" s="4" t="str">
        <f>IF(B20="","",INT((B20-Pengaturan!$B$3)/7)+1)</f>
        <v/>
      </c>
      <c r="E20" s="23" t="str">
        <f>IFERROR(VLOOKUP(B20,'Pagu Harian'!$A$4:$D$40,2,FALSE),Pengaturan!$B$13)</f>
        <v/>
      </c>
      <c r="G20" s="13">
        <f t="shared" si="8"/>
        <v>0</v>
      </c>
      <c r="H20" s="23" t="str">
        <f>IFERROR(VLOOKUP(B20,'Pagu Harian'!$A$4:$D$40,3,FALSE),Pengaturan!$B$14)</f>
        <v/>
      </c>
      <c r="J20" s="13">
        <f t="shared" si="9"/>
        <v>0</v>
      </c>
      <c r="K20" s="25">
        <f t="shared" si="10"/>
        <v>0</v>
      </c>
      <c r="L20" s="25">
        <f t="shared" si="5"/>
        <v>0</v>
      </c>
      <c r="M20" s="13">
        <f t="shared" si="11"/>
        <v>0</v>
      </c>
      <c r="N20" s="26" t="str">
        <f t="shared" si="7"/>
        <v/>
      </c>
    </row>
    <row r="21" ht="15.75" customHeight="1">
      <c r="A21" s="4">
        <v>16.0</v>
      </c>
      <c r="B21" s="22" t="str">
        <f>IF(Pengaturan!$B$3+15&gt;Pengaturan!$B$4,"",Pengaturan!$B$3+15)</f>
        <v/>
      </c>
      <c r="C21" s="4" t="str">
        <f t="shared" si="1"/>
        <v/>
      </c>
      <c r="D21" s="4" t="str">
        <f>IF(B21="","",INT((B21-Pengaturan!$B$3)/7)+1)</f>
        <v/>
      </c>
      <c r="E21" s="23" t="str">
        <f>IFERROR(VLOOKUP(B21,'Pagu Harian'!$A$4:$D$40,2,FALSE),Pengaturan!$B$13)</f>
        <v/>
      </c>
      <c r="G21" s="13">
        <f t="shared" si="8"/>
        <v>0</v>
      </c>
      <c r="H21" s="23" t="str">
        <f>IFERROR(VLOOKUP(B21,'Pagu Harian'!$A$4:$D$40,3,FALSE),Pengaturan!$B$14)</f>
        <v/>
      </c>
      <c r="J21" s="13">
        <f t="shared" si="9"/>
        <v>0</v>
      </c>
      <c r="K21" s="25">
        <f t="shared" si="10"/>
        <v>0</v>
      </c>
      <c r="L21" s="25">
        <f t="shared" si="5"/>
        <v>0</v>
      </c>
      <c r="M21" s="13">
        <f t="shared" si="11"/>
        <v>0</v>
      </c>
      <c r="N21" s="26" t="str">
        <f t="shared" si="7"/>
        <v/>
      </c>
    </row>
    <row r="22" ht="15.75" customHeight="1">
      <c r="A22" s="4">
        <v>17.0</v>
      </c>
      <c r="B22" s="22" t="str">
        <f>IF(Pengaturan!$B$3+16&gt;Pengaturan!$B$4,"",Pengaturan!$B$3+16)</f>
        <v/>
      </c>
      <c r="C22" s="4" t="str">
        <f t="shared" si="1"/>
        <v/>
      </c>
      <c r="D22" s="4" t="str">
        <f>IF(B22="","",INT((B22-Pengaturan!$B$3)/7)+1)</f>
        <v/>
      </c>
      <c r="E22" s="23" t="str">
        <f>IFERROR(VLOOKUP(B22,'Pagu Harian'!$A$4:$D$40,2,FALSE),Pengaturan!$B$13)</f>
        <v/>
      </c>
      <c r="G22" s="13">
        <f t="shared" si="8"/>
        <v>0</v>
      </c>
      <c r="H22" s="23" t="str">
        <f>IFERROR(VLOOKUP(B22,'Pagu Harian'!$A$4:$D$40,3,FALSE),Pengaturan!$B$14)</f>
        <v/>
      </c>
      <c r="J22" s="13">
        <f t="shared" si="9"/>
        <v>0</v>
      </c>
      <c r="K22" s="25">
        <f t="shared" si="10"/>
        <v>0</v>
      </c>
      <c r="L22" s="25">
        <f t="shared" si="5"/>
        <v>0</v>
      </c>
      <c r="M22" s="13">
        <f t="shared" si="11"/>
        <v>0</v>
      </c>
      <c r="N22" s="26" t="str">
        <f t="shared" si="7"/>
        <v/>
      </c>
    </row>
    <row r="23" ht="15.75" customHeight="1">
      <c r="A23" s="4">
        <v>18.0</v>
      </c>
      <c r="B23" s="22" t="str">
        <f>IF(Pengaturan!$B$3+17&gt;Pengaturan!$B$4,"",Pengaturan!$B$3+17)</f>
        <v/>
      </c>
      <c r="C23" s="4" t="str">
        <f t="shared" si="1"/>
        <v/>
      </c>
      <c r="D23" s="4" t="str">
        <f>IF(B23="","",INT((B23-Pengaturan!$B$3)/7)+1)</f>
        <v/>
      </c>
      <c r="E23" s="23" t="str">
        <f>IFERROR(VLOOKUP(B23,'Pagu Harian'!$A$4:$D$40,2,FALSE),Pengaturan!$B$13)</f>
        <v/>
      </c>
      <c r="G23" s="13">
        <f t="shared" si="8"/>
        <v>0</v>
      </c>
      <c r="H23" s="23" t="str">
        <f>IFERROR(VLOOKUP(B23,'Pagu Harian'!$A$4:$D$40,3,FALSE),Pengaturan!$B$14)</f>
        <v/>
      </c>
      <c r="J23" s="13">
        <f t="shared" si="9"/>
        <v>0</v>
      </c>
      <c r="K23" s="25">
        <f t="shared" si="10"/>
        <v>0</v>
      </c>
      <c r="L23" s="25">
        <f t="shared" si="5"/>
        <v>0</v>
      </c>
      <c r="M23" s="13">
        <f t="shared" si="11"/>
        <v>0</v>
      </c>
      <c r="N23" s="26" t="str">
        <f t="shared" si="7"/>
        <v/>
      </c>
    </row>
    <row r="24" ht="15.75" customHeight="1">
      <c r="A24" s="4">
        <v>19.0</v>
      </c>
      <c r="B24" s="22" t="str">
        <f>IF(Pengaturan!$B$3+18&gt;Pengaturan!$B$4,"",Pengaturan!$B$3+18)</f>
        <v/>
      </c>
      <c r="C24" s="4" t="str">
        <f t="shared" si="1"/>
        <v/>
      </c>
      <c r="D24" s="4" t="str">
        <f>IF(B24="","",INT((B24-Pengaturan!$B$3)/7)+1)</f>
        <v/>
      </c>
      <c r="E24" s="23" t="str">
        <f>IFERROR(VLOOKUP(B24,'Pagu Harian'!$A$4:$D$40,2,FALSE),Pengaturan!$B$13)</f>
        <v/>
      </c>
      <c r="G24" s="13">
        <f t="shared" si="8"/>
        <v>0</v>
      </c>
      <c r="H24" s="23" t="str">
        <f>IFERROR(VLOOKUP(B24,'Pagu Harian'!$A$4:$D$40,3,FALSE),Pengaturan!$B$14)</f>
        <v/>
      </c>
      <c r="J24" s="13">
        <f t="shared" si="9"/>
        <v>0</v>
      </c>
      <c r="K24" s="25">
        <f t="shared" si="10"/>
        <v>0</v>
      </c>
      <c r="L24" s="25">
        <f t="shared" si="5"/>
        <v>0</v>
      </c>
      <c r="M24" s="13">
        <f t="shared" si="11"/>
        <v>0</v>
      </c>
      <c r="N24" s="26" t="str">
        <f t="shared" si="7"/>
        <v/>
      </c>
    </row>
    <row r="25" ht="15.75" customHeight="1">
      <c r="A25" s="4">
        <v>20.0</v>
      </c>
      <c r="B25" s="22" t="str">
        <f>IF(Pengaturan!$B$3+19&gt;Pengaturan!$B$4,"",Pengaturan!$B$3+19)</f>
        <v/>
      </c>
      <c r="C25" s="4" t="str">
        <f t="shared" si="1"/>
        <v/>
      </c>
      <c r="D25" s="4" t="str">
        <f>IF(B25="","",INT((B25-Pengaturan!$B$3)/7)+1)</f>
        <v/>
      </c>
      <c r="E25" s="23" t="str">
        <f>IFERROR(VLOOKUP(B25,'Pagu Harian'!$A$4:$D$40,2,FALSE),Pengaturan!$B$13)</f>
        <v/>
      </c>
      <c r="G25" s="13">
        <f t="shared" si="8"/>
        <v>0</v>
      </c>
      <c r="H25" s="23" t="str">
        <f>IFERROR(VLOOKUP(B25,'Pagu Harian'!$A$4:$D$40,3,FALSE),Pengaturan!$B$14)</f>
        <v/>
      </c>
      <c r="J25" s="13">
        <f t="shared" si="9"/>
        <v>0</v>
      </c>
      <c r="K25" s="25">
        <f t="shared" si="10"/>
        <v>0</v>
      </c>
      <c r="L25" s="25">
        <f t="shared" si="5"/>
        <v>0</v>
      </c>
      <c r="M25" s="13">
        <f t="shared" si="11"/>
        <v>0</v>
      </c>
      <c r="N25" s="26" t="str">
        <f t="shared" si="7"/>
        <v/>
      </c>
    </row>
    <row r="26" ht="15.75" customHeight="1">
      <c r="A26" s="4">
        <v>21.0</v>
      </c>
      <c r="B26" s="22" t="str">
        <f>IF(Pengaturan!$B$3+20&gt;Pengaturan!$B$4,"",Pengaturan!$B$3+20)</f>
        <v/>
      </c>
      <c r="C26" s="4" t="str">
        <f t="shared" si="1"/>
        <v/>
      </c>
      <c r="D26" s="4" t="str">
        <f>IF(B26="","",INT((B26-Pengaturan!$B$3)/7)+1)</f>
        <v/>
      </c>
      <c r="E26" s="23" t="str">
        <f>IFERROR(VLOOKUP(B26,'Pagu Harian'!$A$4:$D$40,2,FALSE),Pengaturan!$B$13)</f>
        <v/>
      </c>
      <c r="G26" s="13">
        <f t="shared" si="8"/>
        <v>0</v>
      </c>
      <c r="H26" s="23" t="str">
        <f>IFERROR(VLOOKUP(B26,'Pagu Harian'!$A$4:$D$40,3,FALSE),Pengaturan!$B$14)</f>
        <v/>
      </c>
      <c r="J26" s="13">
        <f t="shared" si="9"/>
        <v>0</v>
      </c>
      <c r="K26" s="25">
        <f t="shared" si="10"/>
        <v>0</v>
      </c>
      <c r="L26" s="25">
        <f t="shared" si="5"/>
        <v>0</v>
      </c>
      <c r="M26" s="13">
        <f t="shared" si="11"/>
        <v>0</v>
      </c>
      <c r="N26" s="26" t="str">
        <f t="shared" si="7"/>
        <v/>
      </c>
    </row>
    <row r="27" ht="15.75" customHeight="1">
      <c r="A27" s="4">
        <v>22.0</v>
      </c>
      <c r="B27" s="22" t="str">
        <f>IF(Pengaturan!$B$3+21&gt;Pengaturan!$B$4,"",Pengaturan!$B$3+21)</f>
        <v/>
      </c>
      <c r="C27" s="4" t="str">
        <f t="shared" si="1"/>
        <v/>
      </c>
      <c r="D27" s="4" t="str">
        <f>IF(B27="","",INT((B27-Pengaturan!$B$3)/7)+1)</f>
        <v/>
      </c>
      <c r="E27" s="23" t="str">
        <f>IFERROR(VLOOKUP(B27,'Pagu Harian'!$A$4:$D$40,2,FALSE),Pengaturan!$B$13)</f>
        <v/>
      </c>
      <c r="G27" s="13">
        <f t="shared" si="8"/>
        <v>0</v>
      </c>
      <c r="H27" s="23" t="str">
        <f>IFERROR(VLOOKUP(B27,'Pagu Harian'!$A$4:$D$40,3,FALSE),Pengaturan!$B$14)</f>
        <v/>
      </c>
      <c r="J27" s="13">
        <f t="shared" si="9"/>
        <v>0</v>
      </c>
      <c r="K27" s="25">
        <f t="shared" si="10"/>
        <v>0</v>
      </c>
      <c r="L27" s="25">
        <f t="shared" si="5"/>
        <v>0</v>
      </c>
      <c r="M27" s="13">
        <f t="shared" si="11"/>
        <v>0</v>
      </c>
      <c r="N27" s="26" t="str">
        <f t="shared" si="7"/>
        <v/>
      </c>
    </row>
    <row r="28" ht="15.75" customHeight="1">
      <c r="A28" s="4">
        <v>23.0</v>
      </c>
      <c r="B28" s="22" t="str">
        <f>IF(Pengaturan!$B$3+22&gt;Pengaturan!$B$4,"",Pengaturan!$B$3+22)</f>
        <v/>
      </c>
      <c r="C28" s="4" t="str">
        <f t="shared" si="1"/>
        <v/>
      </c>
      <c r="D28" s="4" t="str">
        <f>IF(B28="","",INT((B28-Pengaturan!$B$3)/7)+1)</f>
        <v/>
      </c>
      <c r="E28" s="23" t="str">
        <f>IFERROR(VLOOKUP(B28,'Pagu Harian'!$A$4:$D$40,2,FALSE),Pengaturan!$B$13)</f>
        <v/>
      </c>
      <c r="G28" s="13">
        <f t="shared" si="8"/>
        <v>0</v>
      </c>
      <c r="H28" s="23" t="str">
        <f>IFERROR(VLOOKUP(B28,'Pagu Harian'!$A$4:$D$40,3,FALSE),Pengaturan!$B$14)</f>
        <v/>
      </c>
      <c r="J28" s="13">
        <f t="shared" si="9"/>
        <v>0</v>
      </c>
      <c r="K28" s="25">
        <f t="shared" si="10"/>
        <v>0</v>
      </c>
      <c r="L28" s="25">
        <f t="shared" si="5"/>
        <v>0</v>
      </c>
      <c r="M28" s="13">
        <f t="shared" si="11"/>
        <v>0</v>
      </c>
      <c r="N28" s="26" t="str">
        <f t="shared" si="7"/>
        <v/>
      </c>
    </row>
    <row r="29" ht="15.75" customHeight="1">
      <c r="A29" s="4">
        <v>24.0</v>
      </c>
      <c r="B29" s="22" t="str">
        <f>IF(Pengaturan!$B$3+23&gt;Pengaturan!$B$4,"",Pengaturan!$B$3+23)</f>
        <v/>
      </c>
      <c r="C29" s="4" t="str">
        <f t="shared" si="1"/>
        <v/>
      </c>
      <c r="D29" s="4" t="str">
        <f>IF(B29="","",INT((B29-Pengaturan!$B$3)/7)+1)</f>
        <v/>
      </c>
      <c r="E29" s="23" t="str">
        <f>IFERROR(VLOOKUP(B29,'Pagu Harian'!$A$4:$D$40,2,FALSE),Pengaturan!$B$13)</f>
        <v/>
      </c>
      <c r="G29" s="13">
        <f t="shared" si="8"/>
        <v>0</v>
      </c>
      <c r="H29" s="23" t="str">
        <f>IFERROR(VLOOKUP(B29,'Pagu Harian'!$A$4:$D$40,3,FALSE),Pengaturan!$B$14)</f>
        <v/>
      </c>
      <c r="J29" s="13">
        <f t="shared" si="9"/>
        <v>0</v>
      </c>
      <c r="K29" s="25">
        <f t="shared" si="10"/>
        <v>0</v>
      </c>
      <c r="L29" s="25">
        <f t="shared" si="5"/>
        <v>0</v>
      </c>
      <c r="M29" s="13">
        <f t="shared" si="11"/>
        <v>0</v>
      </c>
      <c r="N29" s="26" t="str">
        <f t="shared" si="7"/>
        <v/>
      </c>
    </row>
    <row r="30" ht="15.75" customHeight="1">
      <c r="A30" s="4">
        <v>25.0</v>
      </c>
      <c r="B30" s="22" t="str">
        <f>IF(Pengaturan!$B$3+24&gt;Pengaturan!$B$4,"",Pengaturan!$B$3+24)</f>
        <v/>
      </c>
      <c r="C30" s="4" t="str">
        <f t="shared" si="1"/>
        <v/>
      </c>
      <c r="D30" s="4" t="str">
        <f>IF(B30="","",INT((B30-Pengaturan!$B$3)/7)+1)</f>
        <v/>
      </c>
      <c r="E30" s="23" t="str">
        <f>IFERROR(VLOOKUP(B30,'Pagu Harian'!$A$4:$D$40,2,FALSE),Pengaturan!$B$13)</f>
        <v/>
      </c>
      <c r="G30" s="13">
        <f t="shared" si="8"/>
        <v>0</v>
      </c>
      <c r="H30" s="23" t="str">
        <f>IFERROR(VLOOKUP(B30,'Pagu Harian'!$A$4:$D$40,3,FALSE),Pengaturan!$B$14)</f>
        <v/>
      </c>
      <c r="J30" s="13">
        <f t="shared" si="9"/>
        <v>0</v>
      </c>
      <c r="K30" s="25">
        <f t="shared" si="10"/>
        <v>0</v>
      </c>
      <c r="L30" s="25">
        <f t="shared" si="5"/>
        <v>0</v>
      </c>
      <c r="M30" s="13">
        <f t="shared" si="11"/>
        <v>0</v>
      </c>
      <c r="N30" s="26" t="str">
        <f t="shared" si="7"/>
        <v/>
      </c>
    </row>
    <row r="31" ht="15.75" customHeight="1">
      <c r="A31" s="4">
        <v>26.0</v>
      </c>
      <c r="B31" s="22" t="str">
        <f>IF(Pengaturan!$B$3+25&gt;Pengaturan!$B$4,"",Pengaturan!$B$3+25)</f>
        <v/>
      </c>
      <c r="C31" s="4" t="str">
        <f t="shared" si="1"/>
        <v/>
      </c>
      <c r="D31" s="4" t="str">
        <f>IF(B31="","",INT((B31-Pengaturan!$B$3)/7)+1)</f>
        <v/>
      </c>
      <c r="E31" s="23" t="str">
        <f>IFERROR(VLOOKUP(B31,'Pagu Harian'!$A$4:$D$40,2,FALSE),Pengaturan!$B$13)</f>
        <v/>
      </c>
      <c r="G31" s="13">
        <f t="shared" si="8"/>
        <v>0</v>
      </c>
      <c r="H31" s="23" t="str">
        <f>IFERROR(VLOOKUP(B31,'Pagu Harian'!$A$4:$D$40,3,FALSE),Pengaturan!$B$14)</f>
        <v/>
      </c>
      <c r="J31" s="13">
        <f t="shared" si="9"/>
        <v>0</v>
      </c>
      <c r="K31" s="25">
        <f t="shared" si="10"/>
        <v>0</v>
      </c>
      <c r="L31" s="25">
        <f t="shared" si="5"/>
        <v>0</v>
      </c>
      <c r="M31" s="13">
        <f t="shared" si="11"/>
        <v>0</v>
      </c>
      <c r="N31" s="26" t="str">
        <f t="shared" si="7"/>
        <v/>
      </c>
    </row>
    <row r="32" ht="15.75" customHeight="1">
      <c r="A32" s="4">
        <v>27.0</v>
      </c>
      <c r="B32" s="22" t="str">
        <f>IF(Pengaturan!$B$3+26&gt;Pengaturan!$B$4,"",Pengaturan!$B$3+26)</f>
        <v/>
      </c>
      <c r="C32" s="4" t="str">
        <f t="shared" si="1"/>
        <v/>
      </c>
      <c r="D32" s="4" t="str">
        <f>IF(B32="","",INT((B32-Pengaturan!$B$3)/7)+1)</f>
        <v/>
      </c>
      <c r="E32" s="23" t="str">
        <f>IFERROR(VLOOKUP(B32,'Pagu Harian'!$A$4:$D$40,2,FALSE),Pengaturan!$B$13)</f>
        <v/>
      </c>
      <c r="G32" s="13">
        <f t="shared" si="8"/>
        <v>0</v>
      </c>
      <c r="H32" s="23" t="str">
        <f>IFERROR(VLOOKUP(B32,'Pagu Harian'!$A$4:$D$40,3,FALSE),Pengaturan!$B$14)</f>
        <v/>
      </c>
      <c r="J32" s="13">
        <f t="shared" si="9"/>
        <v>0</v>
      </c>
      <c r="K32" s="25">
        <f t="shared" si="10"/>
        <v>0</v>
      </c>
      <c r="L32" s="25">
        <f t="shared" si="5"/>
        <v>0</v>
      </c>
      <c r="M32" s="13">
        <f t="shared" si="11"/>
        <v>0</v>
      </c>
      <c r="N32" s="26" t="str">
        <f t="shared" si="7"/>
        <v/>
      </c>
    </row>
    <row r="33" ht="15.75" customHeight="1">
      <c r="A33" s="4">
        <v>28.0</v>
      </c>
      <c r="B33" s="22" t="str">
        <f>IF(Pengaturan!$B$3+27&gt;Pengaturan!$B$4,"",Pengaturan!$B$3+27)</f>
        <v/>
      </c>
      <c r="C33" s="4" t="str">
        <f t="shared" si="1"/>
        <v/>
      </c>
      <c r="D33" s="4" t="str">
        <f>IF(B33="","",INT((B33-Pengaturan!$B$3)/7)+1)</f>
        <v/>
      </c>
      <c r="E33" s="23" t="str">
        <f>IFERROR(VLOOKUP(B33,'Pagu Harian'!$A$4:$D$40,2,FALSE),Pengaturan!$B$13)</f>
        <v/>
      </c>
      <c r="G33" s="13">
        <f t="shared" si="8"/>
        <v>0</v>
      </c>
      <c r="H33" s="23" t="str">
        <f>IFERROR(VLOOKUP(B33,'Pagu Harian'!$A$4:$D$40,3,FALSE),Pengaturan!$B$14)</f>
        <v/>
      </c>
      <c r="J33" s="13">
        <f t="shared" si="9"/>
        <v>0</v>
      </c>
      <c r="K33" s="25">
        <f t="shared" si="10"/>
        <v>0</v>
      </c>
      <c r="L33" s="25">
        <f t="shared" si="5"/>
        <v>0</v>
      </c>
      <c r="M33" s="13">
        <f t="shared" si="11"/>
        <v>0</v>
      </c>
      <c r="N33" s="26" t="str">
        <f t="shared" si="7"/>
        <v/>
      </c>
    </row>
    <row r="34" ht="15.75" customHeight="1">
      <c r="A34" s="4">
        <v>29.0</v>
      </c>
      <c r="B34" s="22" t="str">
        <f>IF(Pengaturan!$B$3+28&gt;Pengaturan!$B$4,"",Pengaturan!$B$3+28)</f>
        <v/>
      </c>
      <c r="C34" s="4" t="str">
        <f t="shared" si="1"/>
        <v/>
      </c>
      <c r="D34" s="4" t="str">
        <f>IF(B34="","",INT((B34-Pengaturan!$B$3)/7)+1)</f>
        <v/>
      </c>
      <c r="E34" s="23" t="str">
        <f>IFERROR(VLOOKUP(B34,'Pagu Harian'!$A$4:$D$40,2,FALSE),Pengaturan!$B$13)</f>
        <v/>
      </c>
      <c r="G34" s="13">
        <f t="shared" si="8"/>
        <v>0</v>
      </c>
      <c r="H34" s="23" t="str">
        <f>IFERROR(VLOOKUP(B34,'Pagu Harian'!$A$4:$D$40,3,FALSE),Pengaturan!$B$14)</f>
        <v/>
      </c>
      <c r="J34" s="13">
        <f t="shared" si="9"/>
        <v>0</v>
      </c>
      <c r="K34" s="25">
        <f t="shared" si="10"/>
        <v>0</v>
      </c>
      <c r="L34" s="25">
        <f t="shared" si="5"/>
        <v>0</v>
      </c>
      <c r="M34" s="13">
        <f t="shared" si="11"/>
        <v>0</v>
      </c>
      <c r="N34" s="26" t="str">
        <f t="shared" si="7"/>
        <v/>
      </c>
    </row>
    <row r="35" ht="15.75" customHeight="1">
      <c r="A35" s="4">
        <v>30.0</v>
      </c>
      <c r="B35" s="22" t="str">
        <f>IF(Pengaturan!$B$3+29&gt;Pengaturan!$B$4,"",Pengaturan!$B$3+29)</f>
        <v/>
      </c>
      <c r="C35" s="4" t="str">
        <f t="shared" si="1"/>
        <v/>
      </c>
      <c r="D35" s="4" t="str">
        <f>IF(B35="","",INT((B35-Pengaturan!$B$3)/7)+1)</f>
        <v/>
      </c>
      <c r="E35" s="23" t="str">
        <f>IFERROR(VLOOKUP(B35,'Pagu Harian'!$A$4:$D$40,2,FALSE),Pengaturan!$B$13)</f>
        <v/>
      </c>
      <c r="G35" s="13">
        <f t="shared" si="8"/>
        <v>0</v>
      </c>
      <c r="H35" s="23" t="str">
        <f>IFERROR(VLOOKUP(B35,'Pagu Harian'!$A$4:$D$40,3,FALSE),Pengaturan!$B$14)</f>
        <v/>
      </c>
      <c r="J35" s="13">
        <f t="shared" si="9"/>
        <v>0</v>
      </c>
      <c r="K35" s="25">
        <f t="shared" si="10"/>
        <v>0</v>
      </c>
      <c r="L35" s="25">
        <f t="shared" si="5"/>
        <v>0</v>
      </c>
      <c r="M35" s="13">
        <f t="shared" si="11"/>
        <v>0</v>
      </c>
      <c r="N35" s="26" t="str">
        <f t="shared" si="7"/>
        <v/>
      </c>
    </row>
    <row r="36" ht="15.75" customHeight="1">
      <c r="A36" s="4">
        <v>31.0</v>
      </c>
      <c r="B36" s="22" t="str">
        <f>IF(Pengaturan!$B$3+30&gt;Pengaturan!$B$4,"",Pengaturan!$B$3+30)</f>
        <v/>
      </c>
      <c r="C36" s="4" t="str">
        <f t="shared" si="1"/>
        <v/>
      </c>
      <c r="D36" s="4" t="str">
        <f>IF(B36="","",INT((B36-Pengaturan!$B$3)/7)+1)</f>
        <v/>
      </c>
      <c r="E36" s="23" t="str">
        <f>IFERROR(VLOOKUP(B36,'Pagu Harian'!$A$4:$D$40,2,FALSE),Pengaturan!$B$13)</f>
        <v/>
      </c>
      <c r="G36" s="13">
        <f t="shared" si="8"/>
        <v>0</v>
      </c>
      <c r="H36" s="23" t="str">
        <f>IFERROR(VLOOKUP(B36,'Pagu Harian'!$A$4:$D$40,3,FALSE),Pengaturan!$B$14)</f>
        <v/>
      </c>
      <c r="J36" s="13">
        <f t="shared" si="9"/>
        <v>0</v>
      </c>
      <c r="K36" s="25">
        <f t="shared" si="10"/>
        <v>0</v>
      </c>
      <c r="L36" s="25">
        <f t="shared" si="5"/>
        <v>0</v>
      </c>
      <c r="M36" s="13">
        <f t="shared" si="11"/>
        <v>0</v>
      </c>
      <c r="N36" s="26" t="str">
        <f t="shared" si="7"/>
        <v/>
      </c>
    </row>
    <row r="37" ht="15.75" customHeight="1"/>
    <row r="38" ht="15.75" customHeight="1">
      <c r="B38" s="33" t="s">
        <v>73</v>
      </c>
      <c r="E38" s="19">
        <f t="shared" ref="E38:M38" si="12">SUM(E6:E36)</f>
        <v>372312000</v>
      </c>
      <c r="F38" s="19">
        <f t="shared" si="12"/>
        <v>333319100</v>
      </c>
      <c r="G38" s="19">
        <f t="shared" si="12"/>
        <v>38992900</v>
      </c>
      <c r="H38" s="19">
        <f t="shared" si="12"/>
        <v>179700000</v>
      </c>
      <c r="I38" s="19">
        <f t="shared" si="12"/>
        <v>177419471</v>
      </c>
      <c r="J38" s="19">
        <f t="shared" si="12"/>
        <v>2280529</v>
      </c>
      <c r="K38" s="19">
        <f t="shared" si="12"/>
        <v>552012000</v>
      </c>
      <c r="L38" s="19">
        <f t="shared" si="12"/>
        <v>510738571</v>
      </c>
      <c r="M38" s="19">
        <f t="shared" si="12"/>
        <v>41273429</v>
      </c>
    </row>
    <row r="39" ht="15.75" customHeight="1">
      <c r="B39" s="33" t="s">
        <v>74</v>
      </c>
      <c r="E39" s="19">
        <f>IFERROR(AVERAGEIF(B6:B36,"&lt;&gt;",E6:E36),0)</f>
        <v>28639384.62</v>
      </c>
      <c r="F39" s="19">
        <f>IFERROR(AVERAGEIF(F6:F36,"&gt;0"),0)</f>
        <v>27776591.67</v>
      </c>
      <c r="G39" s="19">
        <f>IFERROR(AVERAGEIF(B6:B36,"&lt;&gt;",G6:G36),0)</f>
        <v>1257835.484</v>
      </c>
      <c r="H39" s="19">
        <f>IFERROR(AVERAGEIF(B6:B36,"&lt;&gt;",H6:H36),0)</f>
        <v>13823076.92</v>
      </c>
      <c r="I39" s="19">
        <f>IFERROR(AVERAGEIF(I6:I36,"&gt;0"),0)</f>
        <v>14784955.92</v>
      </c>
      <c r="J39" s="19">
        <f>IFERROR(AVERAGEIF(B6:B36,"&lt;&gt;",J6:J36),0)</f>
        <v>73565.45161</v>
      </c>
      <c r="K39" s="19">
        <f>IFERROR(AVERAGEIF(B6:B36,"&lt;&gt;",K6:K36),0)</f>
        <v>17806838.71</v>
      </c>
      <c r="L39" s="19">
        <f>IFERROR(AVERAGEIF(L6:L36,"&gt;0"),0)</f>
        <v>42561547.58</v>
      </c>
      <c r="M39" s="19">
        <f>IFERROR(AVERAGEIF(B6:B36,"&lt;&gt;",M6:M36),0)</f>
        <v>1331400.935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conditionalFormatting sqref="N6:N36">
    <cfRule type="cellIs" dxfId="0" priority="1" operator="equal">
      <formula>"SURPLUS"</formula>
    </cfRule>
  </conditionalFormatting>
  <conditionalFormatting sqref="N6:N36">
    <cfRule type="cellIs" dxfId="1" priority="2" operator="equal">
      <formula>"DEFISIT"</formula>
    </cfRule>
  </conditionalFormatting>
  <conditionalFormatting sqref="N6:N36">
    <cfRule type="cellIs" dxfId="2" priority="3" operator="equal">
      <formula>"AMAN"</formula>
    </cfRule>
  </conditionalFormatting>
  <conditionalFormatting sqref="N6:N36">
    <cfRule type="cellIs" dxfId="3" priority="4" operator="equal">
      <formula>"BELUM"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17.0"/>
    <col customWidth="1" min="4" max="4" width="16.0"/>
    <col customWidth="1" min="5" max="5" width="18.71"/>
    <col customWidth="1" min="6" max="6" width="21.29"/>
    <col customWidth="1" min="7" max="7" width="20.86"/>
    <col customWidth="1" min="8" max="8" width="21.71"/>
    <col customWidth="1" min="9" max="9" width="16.0"/>
    <col customWidth="1" min="10" max="10" width="16.86"/>
    <col customWidth="1" min="11" max="11" width="18.0"/>
    <col customWidth="1" min="12" max="12" width="14.0"/>
    <col customWidth="1" min="13" max="25" width="8.86"/>
  </cols>
  <sheetData>
    <row r="1" ht="31.5" customHeight="1">
      <c r="A1" s="1" t="s">
        <v>75</v>
      </c>
    </row>
    <row r="2" ht="19.5" customHeight="1">
      <c r="A2" s="21" t="s">
        <v>76</v>
      </c>
    </row>
    <row r="3">
      <c r="A3" s="18" t="s">
        <v>77</v>
      </c>
      <c r="B3" s="18" t="s">
        <v>78</v>
      </c>
      <c r="C3" s="11" t="s">
        <v>57</v>
      </c>
      <c r="D3" s="11" t="s">
        <v>58</v>
      </c>
      <c r="E3" s="11" t="s">
        <v>59</v>
      </c>
      <c r="F3" s="16" t="s">
        <v>60</v>
      </c>
      <c r="G3" s="16" t="s">
        <v>61</v>
      </c>
      <c r="H3" s="16" t="s">
        <v>62</v>
      </c>
      <c r="I3" s="18" t="s">
        <v>63</v>
      </c>
      <c r="J3" s="18" t="s">
        <v>64</v>
      </c>
      <c r="K3" s="18" t="s">
        <v>65</v>
      </c>
      <c r="L3" s="18" t="s">
        <v>66</v>
      </c>
    </row>
    <row r="4">
      <c r="A4" s="4">
        <v>1.0</v>
      </c>
      <c r="B4" s="4" t="str">
        <f>IF(Pengaturan!$B$3+0&gt;Pengaturan!$B$4,"",TEXT(Pengaturan!$B$3+0,"dd mmm")&amp;" - "&amp;TEXT(MIN(Pengaturan!$B$3+6,Pengaturan!$B$4),"dd mmm"))</f>
        <v>27 Oct - 02 Nov</v>
      </c>
      <c r="C4" s="23">
        <f>SUMIF('Rekap Harian'!$D$6:$D$36,A4,'Rekap Harian'!$E$6:$E$36)</f>
        <v>186156000</v>
      </c>
      <c r="D4" s="23">
        <f>SUMIF('Rekap Harian'!$D$6:$D$36,A4,'Rekap Harian'!$F$6:$F$36)</f>
        <v>167240500</v>
      </c>
      <c r="E4" s="13">
        <f t="shared" ref="E4:E8" si="2">C4-D4</f>
        <v>18915500</v>
      </c>
      <c r="F4" s="23">
        <f>SUMIF('Rekap Harian'!$D$6:$D$36,A4,'Rekap Harian'!$H$6:$H$36)</f>
        <v>89850000</v>
      </c>
      <c r="G4" s="23">
        <f>SUMIF('Rekap Harian'!$D$6:$D$36,A4,'Rekap Harian'!$I$6:$I$36)</f>
        <v>55391871</v>
      </c>
      <c r="H4" s="13">
        <f t="shared" ref="H4:H8" si="3">F4-G4</f>
        <v>34458129</v>
      </c>
      <c r="I4" s="25">
        <f t="shared" ref="I4:J4" si="1">C4+F4</f>
        <v>276006000</v>
      </c>
      <c r="J4" s="25">
        <f t="shared" si="1"/>
        <v>222632371</v>
      </c>
      <c r="K4" s="13">
        <f t="shared" ref="K4:K8" si="5">I4-J4</f>
        <v>53373629</v>
      </c>
      <c r="L4" s="26" t="str">
        <f t="shared" ref="L4:L8" si="6">IF(I4=0,"",IF(K4&gt;0,"SURPLUS",IF(K4&lt;0,"DEFISIT","AMAN")))</f>
        <v>SURPLUS</v>
      </c>
    </row>
    <row r="5">
      <c r="A5" s="4">
        <v>2.0</v>
      </c>
      <c r="B5" s="4" t="str">
        <f>IF(Pengaturan!$B$3+7&gt;Pengaturan!$B$4,"",TEXT(Pengaturan!$B$3+7,"dd mmm")&amp;" - "&amp;TEXT(MIN(Pengaturan!$B$3+13,Pengaturan!$B$4),"dd mmm"))</f>
        <v>03 Nov - 08 Nov</v>
      </c>
      <c r="C5" s="23">
        <f>SUMIF('Rekap Harian'!$D$6:$D$36,A5,'Rekap Harian'!$E$6:$E$36)</f>
        <v>186156000</v>
      </c>
      <c r="D5" s="23">
        <f>SUMIF('Rekap Harian'!$D$6:$D$36,A5,'Rekap Harian'!$F$6:$F$36)</f>
        <v>166078600</v>
      </c>
      <c r="E5" s="13">
        <f t="shared" si="2"/>
        <v>20077400</v>
      </c>
      <c r="F5" s="23">
        <f>SUMIF('Rekap Harian'!$D$6:$D$36,A5,'Rekap Harian'!$H$6:$H$36)</f>
        <v>89850000</v>
      </c>
      <c r="G5" s="23">
        <f>SUMIF('Rekap Harian'!$D$6:$D$36,A5,'Rekap Harian'!$I$6:$I$36)</f>
        <v>122027600</v>
      </c>
      <c r="H5" s="13">
        <f t="shared" si="3"/>
        <v>-32177600</v>
      </c>
      <c r="I5" s="25">
        <f t="shared" ref="I5:J5" si="4">C5+F5</f>
        <v>276006000</v>
      </c>
      <c r="J5" s="25">
        <f t="shared" si="4"/>
        <v>288106200</v>
      </c>
      <c r="K5" s="13">
        <f t="shared" si="5"/>
        <v>-12100200</v>
      </c>
      <c r="L5" s="26" t="str">
        <f t="shared" si="6"/>
        <v>DEFISIT</v>
      </c>
    </row>
    <row r="6">
      <c r="A6" s="4">
        <v>3.0</v>
      </c>
      <c r="B6" s="4" t="str">
        <f>IF(Pengaturan!$B$3+14&gt;Pengaturan!$B$4,"",TEXT(Pengaturan!$B$3+14,"dd mmm")&amp;" - "&amp;TEXT(MIN(Pengaturan!$B$3+20,Pengaturan!$B$4),"dd mmm"))</f>
        <v/>
      </c>
      <c r="C6" s="23">
        <f>SUMIF('Rekap Harian'!$D$6:$D$36,A6,'Rekap Harian'!$E$6:$E$36)</f>
        <v>0</v>
      </c>
      <c r="D6" s="23">
        <f>SUMIF('Rekap Harian'!$D$6:$D$36,A6,'Rekap Harian'!$F$6:$F$36)</f>
        <v>0</v>
      </c>
      <c r="E6" s="13">
        <f t="shared" si="2"/>
        <v>0</v>
      </c>
      <c r="F6" s="23">
        <f>SUMIF('Rekap Harian'!$D$6:$D$36,A6,'Rekap Harian'!$H$6:$H$36)</f>
        <v>0</v>
      </c>
      <c r="G6" s="23">
        <f>SUMIF('Rekap Harian'!$D$6:$D$36,A6,'Rekap Harian'!$I$6:$I$36)</f>
        <v>0</v>
      </c>
      <c r="H6" s="13">
        <f t="shared" si="3"/>
        <v>0</v>
      </c>
      <c r="I6" s="25">
        <f t="shared" ref="I6:J6" si="7">C6+F6</f>
        <v>0</v>
      </c>
      <c r="J6" s="25">
        <f t="shared" si="7"/>
        <v>0</v>
      </c>
      <c r="K6" s="13">
        <f t="shared" si="5"/>
        <v>0</v>
      </c>
      <c r="L6" s="26" t="str">
        <f t="shared" si="6"/>
        <v/>
      </c>
    </row>
    <row r="7">
      <c r="A7" s="4">
        <v>4.0</v>
      </c>
      <c r="B7" s="4" t="str">
        <f>IF(Pengaturan!$B$3+21&gt;Pengaturan!$B$4,"",TEXT(Pengaturan!$B$3+21,"dd mmm")&amp;" - "&amp;TEXT(MIN(Pengaturan!$B$3+27,Pengaturan!$B$4),"dd mmm"))</f>
        <v/>
      </c>
      <c r="C7" s="23">
        <f>SUMIF('Rekap Harian'!$D$6:$D$36,A7,'Rekap Harian'!$E$6:$E$36)</f>
        <v>0</v>
      </c>
      <c r="D7" s="23">
        <f>SUMIF('Rekap Harian'!$D$6:$D$36,A7,'Rekap Harian'!$F$6:$F$36)</f>
        <v>0</v>
      </c>
      <c r="E7" s="13">
        <f t="shared" si="2"/>
        <v>0</v>
      </c>
      <c r="F7" s="23">
        <f>SUMIF('Rekap Harian'!$D$6:$D$36,A7,'Rekap Harian'!$H$6:$H$36)</f>
        <v>0</v>
      </c>
      <c r="G7" s="23">
        <f>SUMIF('Rekap Harian'!$D$6:$D$36,A7,'Rekap Harian'!$I$6:$I$36)</f>
        <v>0</v>
      </c>
      <c r="H7" s="13">
        <f t="shared" si="3"/>
        <v>0</v>
      </c>
      <c r="I7" s="25">
        <f t="shared" ref="I7:J7" si="8">C7+F7</f>
        <v>0</v>
      </c>
      <c r="J7" s="25">
        <f t="shared" si="8"/>
        <v>0</v>
      </c>
      <c r="K7" s="13">
        <f t="shared" si="5"/>
        <v>0</v>
      </c>
      <c r="L7" s="26" t="str">
        <f t="shared" si="6"/>
        <v/>
      </c>
    </row>
    <row r="8">
      <c r="A8" s="4">
        <v>5.0</v>
      </c>
      <c r="B8" s="4" t="str">
        <f>IF(Pengaturan!$B$3+28&gt;Pengaturan!$B$4,"",TEXT(Pengaturan!$B$3+28,"dd mmm")&amp;" - "&amp;TEXT(MIN(Pengaturan!$B$3+34,Pengaturan!$B$4),"dd mmm"))</f>
        <v/>
      </c>
      <c r="C8" s="23">
        <f>SUMIF('Rekap Harian'!$D$6:$D$36,A8,'Rekap Harian'!$E$6:$E$36)</f>
        <v>0</v>
      </c>
      <c r="D8" s="23">
        <f>SUMIF('Rekap Harian'!$D$6:$D$36,A8,'Rekap Harian'!$F$6:$F$36)</f>
        <v>0</v>
      </c>
      <c r="E8" s="13">
        <f t="shared" si="2"/>
        <v>0</v>
      </c>
      <c r="F8" s="23">
        <f>SUMIF('Rekap Harian'!$D$6:$D$36,A8,'Rekap Harian'!$H$6:$H$36)</f>
        <v>0</v>
      </c>
      <c r="G8" s="23">
        <f>SUMIF('Rekap Harian'!$D$6:$D$36,A8,'Rekap Harian'!$I$6:$I$36)</f>
        <v>0</v>
      </c>
      <c r="H8" s="13">
        <f t="shared" si="3"/>
        <v>0</v>
      </c>
      <c r="I8" s="25">
        <f t="shared" ref="I8:J8" si="9">C8+F8</f>
        <v>0</v>
      </c>
      <c r="J8" s="25">
        <f t="shared" si="9"/>
        <v>0</v>
      </c>
      <c r="K8" s="13">
        <f t="shared" si="5"/>
        <v>0</v>
      </c>
      <c r="L8" s="26" t="str">
        <f t="shared" si="6"/>
        <v/>
      </c>
    </row>
    <row r="10">
      <c r="A10" s="33" t="s">
        <v>73</v>
      </c>
      <c r="C10" s="19">
        <f t="shared" ref="C10:K10" si="10">SUM(C4:C8)</f>
        <v>372312000</v>
      </c>
      <c r="D10" s="19">
        <f t="shared" si="10"/>
        <v>333319100</v>
      </c>
      <c r="E10" s="19">
        <f t="shared" si="10"/>
        <v>38992900</v>
      </c>
      <c r="F10" s="19">
        <f t="shared" si="10"/>
        <v>179700000</v>
      </c>
      <c r="G10" s="19">
        <f t="shared" si="10"/>
        <v>177419471</v>
      </c>
      <c r="H10" s="19">
        <f t="shared" si="10"/>
        <v>2280529</v>
      </c>
      <c r="I10" s="19">
        <f t="shared" si="10"/>
        <v>552012000</v>
      </c>
      <c r="J10" s="19">
        <f t="shared" si="10"/>
        <v>510738571</v>
      </c>
      <c r="K10" s="19">
        <f t="shared" si="10"/>
        <v>41273429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conditionalFormatting sqref="L4:L8">
    <cfRule type="cellIs" dxfId="0" priority="1" operator="equal">
      <formula>"SURPLUS"</formula>
    </cfRule>
  </conditionalFormatting>
  <conditionalFormatting sqref="L4:L8">
    <cfRule type="cellIs" dxfId="1" priority="2" operator="equal">
      <formula>"DEFISIT"</formula>
    </cfRule>
  </conditionalFormatting>
  <conditionalFormatting sqref="L4:L8">
    <cfRule type="cellIs" dxfId="2" priority="3" operator="equal">
      <formula>"AMAN"</formula>
    </cfRule>
  </conditionalFormatting>
  <conditionalFormatting sqref="L4:L8">
    <cfRule type="cellIs" dxfId="3" priority="4" operator="equal">
      <formula>"BELUM"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56.0"/>
    <col customWidth="1" min="2" max="5" width="20.0"/>
    <col customWidth="1" min="6" max="26" width="8.86"/>
  </cols>
  <sheetData>
    <row r="1" ht="31.5" customHeight="1">
      <c r="A1" s="1" t="s">
        <v>79</v>
      </c>
    </row>
    <row r="2" ht="19.5" customHeight="1">
      <c r="A2" s="21" t="s">
        <v>80</v>
      </c>
    </row>
    <row r="4">
      <c r="A4" s="34" t="s">
        <v>81</v>
      </c>
    </row>
    <row r="5">
      <c r="A5" s="18" t="s">
        <v>82</v>
      </c>
      <c r="B5" s="18" t="s">
        <v>58</v>
      </c>
      <c r="C5" s="18" t="s">
        <v>57</v>
      </c>
      <c r="D5" s="18" t="s">
        <v>61</v>
      </c>
      <c r="E5" s="18" t="s">
        <v>60</v>
      </c>
    </row>
    <row r="6">
      <c r="A6" s="22">
        <f>'Rekap Harian'!B6</f>
        <v>45957</v>
      </c>
      <c r="B6" s="23">
        <f>'Rekap Harian'!F6</f>
        <v>22893500</v>
      </c>
      <c r="C6" s="23">
        <f>'Rekap Harian'!E6</f>
        <v>31026000</v>
      </c>
      <c r="D6" s="23">
        <f>'Rekap Harian'!I6</f>
        <v>3202871</v>
      </c>
      <c r="E6" s="23">
        <f>'Rekap Harian'!H6</f>
        <v>14975000</v>
      </c>
    </row>
    <row r="7">
      <c r="A7" s="22">
        <f>'Rekap Harian'!B7</f>
        <v>45958</v>
      </c>
      <c r="B7" s="23">
        <f>'Rekap Harian'!F7</f>
        <v>24745500</v>
      </c>
      <c r="C7" s="23">
        <f>'Rekap Harian'!E7</f>
        <v>31026000</v>
      </c>
      <c r="D7" s="23">
        <f>'Rekap Harian'!I7</f>
        <v>1880000</v>
      </c>
      <c r="E7" s="23">
        <f>'Rekap Harian'!H7</f>
        <v>14975000</v>
      </c>
    </row>
    <row r="8">
      <c r="A8" s="22">
        <f>'Rekap Harian'!B8</f>
        <v>45959</v>
      </c>
      <c r="B8" s="23">
        <f>'Rekap Harian'!F8</f>
        <v>34323500</v>
      </c>
      <c r="C8" s="23">
        <f>'Rekap Harian'!E8</f>
        <v>31026000</v>
      </c>
      <c r="D8" s="23">
        <f>'Rekap Harian'!I8</f>
        <v>3439000</v>
      </c>
      <c r="E8" s="23">
        <f>'Rekap Harian'!H8</f>
        <v>14975000</v>
      </c>
    </row>
    <row r="9">
      <c r="A9" s="22">
        <f>'Rekap Harian'!B9</f>
        <v>45960</v>
      </c>
      <c r="B9" s="23">
        <f>'Rekap Harian'!F9</f>
        <v>31432000</v>
      </c>
      <c r="C9" s="23">
        <f>'Rekap Harian'!E9</f>
        <v>31026000</v>
      </c>
      <c r="D9" s="23">
        <f>'Rekap Harian'!I9</f>
        <v>1880000</v>
      </c>
      <c r="E9" s="23">
        <f>'Rekap Harian'!H9</f>
        <v>14975000</v>
      </c>
    </row>
    <row r="10">
      <c r="A10" s="22">
        <f>'Rekap Harian'!B10</f>
        <v>45961</v>
      </c>
      <c r="B10" s="23">
        <f>'Rekap Harian'!F10</f>
        <v>24713500</v>
      </c>
      <c r="C10" s="23">
        <f>'Rekap Harian'!F10</f>
        <v>24713500</v>
      </c>
      <c r="D10" s="23">
        <f>'Rekap Harian'!I10</f>
        <v>3364000</v>
      </c>
      <c r="E10" s="23">
        <f>'Rekap Harian'!H10</f>
        <v>14975000</v>
      </c>
    </row>
    <row r="11">
      <c r="A11" s="22">
        <f>'Rekap Harian'!B11</f>
        <v>45962</v>
      </c>
      <c r="B11" s="23">
        <f>'Rekap Harian'!F11</f>
        <v>29132500</v>
      </c>
      <c r="C11" s="23">
        <f>'Rekap Harian'!E11</f>
        <v>31026000</v>
      </c>
      <c r="D11" s="23">
        <f>'Rekap Harian'!I11</f>
        <v>41626000</v>
      </c>
      <c r="E11" s="23">
        <f>'Rekap Harian'!H11</f>
        <v>14975000</v>
      </c>
    </row>
    <row r="12">
      <c r="A12" s="22">
        <f>'Rekap Harian'!B12</f>
        <v>45963</v>
      </c>
      <c r="B12" s="23">
        <f>'Rekap Harian'!F12</f>
        <v>0</v>
      </c>
      <c r="C12" s="23">
        <f>'Rekap Harian'!E12</f>
        <v>0</v>
      </c>
      <c r="D12" s="23">
        <f>'Rekap Harian'!I12</f>
        <v>0</v>
      </c>
      <c r="E12" s="23">
        <f>'Rekap Harian'!H12</f>
        <v>0</v>
      </c>
    </row>
    <row r="13">
      <c r="A13" s="22">
        <f>'Rekap Harian'!B13</f>
        <v>45964</v>
      </c>
      <c r="B13" s="23">
        <f>'Rekap Harian'!F13</f>
        <v>26254000</v>
      </c>
      <c r="C13" s="23">
        <f>'Rekap Harian'!E13</f>
        <v>31026000</v>
      </c>
      <c r="D13" s="23">
        <f>'Rekap Harian'!I13</f>
        <v>2480000</v>
      </c>
      <c r="E13" s="23">
        <f>'Rekap Harian'!H13</f>
        <v>14975000</v>
      </c>
    </row>
    <row r="14">
      <c r="A14" s="22">
        <f>'Rekap Harian'!B14</f>
        <v>45965</v>
      </c>
      <c r="B14" s="23">
        <f>'Rekap Harian'!F14</f>
        <v>30084800</v>
      </c>
      <c r="C14" s="23">
        <f>'Rekap Harian'!E14</f>
        <v>31026000</v>
      </c>
      <c r="D14" s="23">
        <f>'Rekap Harian'!I14</f>
        <v>3253000</v>
      </c>
      <c r="E14" s="23">
        <f>'Rekap Harian'!H14</f>
        <v>14975000</v>
      </c>
    </row>
    <row r="15">
      <c r="A15" s="22">
        <f>'Rekap Harian'!B15</f>
        <v>45966</v>
      </c>
      <c r="B15" s="23">
        <f>'Rekap Harian'!F15</f>
        <v>28144300</v>
      </c>
      <c r="C15" s="23">
        <f>'Rekap Harian'!E15</f>
        <v>31026000</v>
      </c>
      <c r="D15" s="23">
        <f>'Rekap Harian'!I15</f>
        <v>2968600</v>
      </c>
      <c r="E15" s="23">
        <f>'Rekap Harian'!H15</f>
        <v>14975000</v>
      </c>
    </row>
    <row r="16">
      <c r="A16" s="22">
        <f>'Rekap Harian'!B16</f>
        <v>45967</v>
      </c>
      <c r="B16" s="23">
        <f>'Rekap Harian'!F16</f>
        <v>22981000</v>
      </c>
      <c r="C16" s="23">
        <f>'Rekap Harian'!E16</f>
        <v>31026000</v>
      </c>
      <c r="D16" s="23">
        <f>'Rekap Harian'!I16</f>
        <v>2944000</v>
      </c>
      <c r="E16" s="23">
        <f>'Rekap Harian'!H16</f>
        <v>14975000</v>
      </c>
    </row>
    <row r="17">
      <c r="A17" s="22">
        <f>'Rekap Harian'!B17</f>
        <v>45968</v>
      </c>
      <c r="B17" s="23">
        <f>'Rekap Harian'!F17</f>
        <v>34830500</v>
      </c>
      <c r="C17" s="23">
        <f>'Rekap Harian'!E17</f>
        <v>31026000</v>
      </c>
      <c r="D17" s="23">
        <f>'Rekap Harian'!I17</f>
        <v>3009000</v>
      </c>
      <c r="E17" s="23">
        <f>'Rekap Harian'!H17</f>
        <v>14975000</v>
      </c>
    </row>
    <row r="18">
      <c r="A18" s="22">
        <f>'Rekap Harian'!B18</f>
        <v>45969</v>
      </c>
      <c r="B18" s="23">
        <f>'Rekap Harian'!F18</f>
        <v>23784000</v>
      </c>
      <c r="C18" s="23">
        <f>'Rekap Harian'!E18</f>
        <v>31026000</v>
      </c>
      <c r="D18" s="23">
        <f>'Rekap Harian'!I18</f>
        <v>107373000</v>
      </c>
      <c r="E18" s="23">
        <f>'Rekap Harian'!H18</f>
        <v>14975000</v>
      </c>
    </row>
    <row r="19">
      <c r="A19" s="22" t="str">
        <f>'Rekap Harian'!B19</f>
        <v/>
      </c>
      <c r="B19" s="23" t="str">
        <f>'Rekap Harian'!F19</f>
        <v/>
      </c>
      <c r="C19" s="23" t="str">
        <f>'Rekap Harian'!E19</f>
        <v/>
      </c>
      <c r="D19" s="23" t="str">
        <f>'Rekap Harian'!I19</f>
        <v/>
      </c>
      <c r="E19" s="23" t="str">
        <f>'Rekap Harian'!H19</f>
        <v/>
      </c>
    </row>
    <row r="20">
      <c r="A20" s="22" t="str">
        <f>'Rekap Harian'!B20</f>
        <v/>
      </c>
      <c r="B20" s="23" t="str">
        <f>'Rekap Harian'!F20</f>
        <v/>
      </c>
      <c r="C20" s="23" t="str">
        <f>'Rekap Harian'!E20</f>
        <v/>
      </c>
      <c r="D20" s="23" t="str">
        <f>'Rekap Harian'!I20</f>
        <v/>
      </c>
      <c r="E20" s="23" t="str">
        <f>'Rekap Harian'!H20</f>
        <v/>
      </c>
    </row>
    <row r="21" ht="15.75" customHeight="1">
      <c r="A21" s="22" t="str">
        <f>'Rekap Harian'!B21</f>
        <v/>
      </c>
      <c r="B21" s="23" t="str">
        <f>'Rekap Harian'!F21</f>
        <v/>
      </c>
      <c r="C21" s="23" t="str">
        <f>'Rekap Harian'!E21</f>
        <v/>
      </c>
      <c r="D21" s="23" t="str">
        <f>'Rekap Harian'!I21</f>
        <v/>
      </c>
      <c r="E21" s="23" t="str">
        <f>'Rekap Harian'!H21</f>
        <v/>
      </c>
    </row>
    <row r="22" ht="15.75" customHeight="1">
      <c r="A22" s="22" t="str">
        <f>'Rekap Harian'!B22</f>
        <v/>
      </c>
      <c r="B22" s="23" t="str">
        <f>'Rekap Harian'!F22</f>
        <v/>
      </c>
      <c r="C22" s="23" t="str">
        <f>'Rekap Harian'!E22</f>
        <v/>
      </c>
      <c r="D22" s="23" t="str">
        <f>'Rekap Harian'!I22</f>
        <v/>
      </c>
      <c r="E22" s="23" t="str">
        <f>'Rekap Harian'!H22</f>
        <v/>
      </c>
    </row>
    <row r="23" ht="15.75" customHeight="1">
      <c r="A23" s="22" t="str">
        <f>'Rekap Harian'!B23</f>
        <v/>
      </c>
      <c r="B23" s="23" t="str">
        <f>'Rekap Harian'!F23</f>
        <v/>
      </c>
      <c r="C23" s="23" t="str">
        <f>'Rekap Harian'!E23</f>
        <v/>
      </c>
      <c r="D23" s="23" t="str">
        <f>'Rekap Harian'!I23</f>
        <v/>
      </c>
      <c r="E23" s="23" t="str">
        <f>'Rekap Harian'!H23</f>
        <v/>
      </c>
    </row>
    <row r="24" ht="15.75" customHeight="1">
      <c r="A24" s="22" t="str">
        <f>'Rekap Harian'!B24</f>
        <v/>
      </c>
      <c r="B24" s="23" t="str">
        <f>'Rekap Harian'!F24</f>
        <v/>
      </c>
      <c r="C24" s="23" t="str">
        <f>'Rekap Harian'!E24</f>
        <v/>
      </c>
      <c r="D24" s="23" t="str">
        <f>'Rekap Harian'!I24</f>
        <v/>
      </c>
      <c r="E24" s="23" t="str">
        <f>'Rekap Harian'!H24</f>
        <v/>
      </c>
    </row>
    <row r="25" ht="15.75" customHeight="1">
      <c r="A25" s="22" t="str">
        <f>'Rekap Harian'!B25</f>
        <v/>
      </c>
      <c r="B25" s="23" t="str">
        <f>'Rekap Harian'!F25</f>
        <v/>
      </c>
      <c r="C25" s="23" t="str">
        <f>'Rekap Harian'!E25</f>
        <v/>
      </c>
      <c r="D25" s="23" t="str">
        <f>'Rekap Harian'!I25</f>
        <v/>
      </c>
      <c r="E25" s="23" t="str">
        <f>'Rekap Harian'!H25</f>
        <v/>
      </c>
    </row>
    <row r="26" ht="15.75" customHeight="1">
      <c r="A26" s="22" t="str">
        <f>'Rekap Harian'!B26</f>
        <v/>
      </c>
      <c r="B26" s="23" t="str">
        <f>'Rekap Harian'!F26</f>
        <v/>
      </c>
      <c r="C26" s="23" t="str">
        <f>'Rekap Harian'!E26</f>
        <v/>
      </c>
      <c r="D26" s="23" t="str">
        <f>'Rekap Harian'!I26</f>
        <v/>
      </c>
      <c r="E26" s="23" t="str">
        <f>'Rekap Harian'!H26</f>
        <v/>
      </c>
    </row>
    <row r="27" ht="15.75" customHeight="1">
      <c r="A27" s="22" t="str">
        <f>'Rekap Harian'!B27</f>
        <v/>
      </c>
      <c r="B27" s="23" t="str">
        <f>'Rekap Harian'!F27</f>
        <v/>
      </c>
      <c r="C27" s="23" t="str">
        <f>'Rekap Harian'!E27</f>
        <v/>
      </c>
      <c r="D27" s="23" t="str">
        <f>'Rekap Harian'!I27</f>
        <v/>
      </c>
      <c r="E27" s="23" t="str">
        <f>'Rekap Harian'!H27</f>
        <v/>
      </c>
    </row>
    <row r="28" ht="15.75" customHeight="1">
      <c r="A28" s="22" t="str">
        <f>'Rekap Harian'!B28</f>
        <v/>
      </c>
      <c r="B28" s="23" t="str">
        <f>'Rekap Harian'!F28</f>
        <v/>
      </c>
      <c r="C28" s="23" t="str">
        <f>'Rekap Harian'!E28</f>
        <v/>
      </c>
      <c r="D28" s="23" t="str">
        <f>'Rekap Harian'!I28</f>
        <v/>
      </c>
      <c r="E28" s="23" t="str">
        <f>'Rekap Harian'!H28</f>
        <v/>
      </c>
    </row>
    <row r="29" ht="15.75" customHeight="1">
      <c r="A29" s="22" t="str">
        <f>'Rekap Harian'!B29</f>
        <v/>
      </c>
      <c r="B29" s="23" t="str">
        <f>'Rekap Harian'!F29</f>
        <v/>
      </c>
      <c r="C29" s="23" t="str">
        <f>'Rekap Harian'!E29</f>
        <v/>
      </c>
      <c r="D29" s="23" t="str">
        <f>'Rekap Harian'!I29</f>
        <v/>
      </c>
      <c r="E29" s="23" t="str">
        <f>'Rekap Harian'!H29</f>
        <v/>
      </c>
    </row>
    <row r="30" ht="15.75" customHeight="1">
      <c r="A30" s="22" t="str">
        <f>'Rekap Harian'!B30</f>
        <v/>
      </c>
      <c r="B30" s="23" t="str">
        <f>'Rekap Harian'!F30</f>
        <v/>
      </c>
      <c r="C30" s="23" t="str">
        <f>'Rekap Harian'!E30</f>
        <v/>
      </c>
      <c r="D30" s="23" t="str">
        <f>'Rekap Harian'!I30</f>
        <v/>
      </c>
      <c r="E30" s="23" t="str">
        <f>'Rekap Harian'!H30</f>
        <v/>
      </c>
    </row>
    <row r="31" ht="15.75" customHeight="1">
      <c r="A31" s="22" t="str">
        <f>'Rekap Harian'!B31</f>
        <v/>
      </c>
      <c r="B31" s="23" t="str">
        <f>'Rekap Harian'!F31</f>
        <v/>
      </c>
      <c r="C31" s="23" t="str">
        <f>'Rekap Harian'!E31</f>
        <v/>
      </c>
      <c r="D31" s="23" t="str">
        <f>'Rekap Harian'!I31</f>
        <v/>
      </c>
      <c r="E31" s="23" t="str">
        <f>'Rekap Harian'!H31</f>
        <v/>
      </c>
    </row>
    <row r="32" ht="15.75" customHeight="1">
      <c r="A32" s="22" t="str">
        <f>'Rekap Harian'!B32</f>
        <v/>
      </c>
      <c r="B32" s="23" t="str">
        <f>'Rekap Harian'!F32</f>
        <v/>
      </c>
      <c r="C32" s="23" t="str">
        <f>'Rekap Harian'!E32</f>
        <v/>
      </c>
      <c r="D32" s="23" t="str">
        <f>'Rekap Harian'!I32</f>
        <v/>
      </c>
      <c r="E32" s="23" t="str">
        <f>'Rekap Harian'!H32</f>
        <v/>
      </c>
    </row>
    <row r="33" ht="15.75" customHeight="1">
      <c r="A33" s="22" t="str">
        <f>'Rekap Harian'!B33</f>
        <v/>
      </c>
      <c r="B33" s="23" t="str">
        <f>'Rekap Harian'!F33</f>
        <v/>
      </c>
      <c r="C33" s="23" t="str">
        <f>'Rekap Harian'!E33</f>
        <v/>
      </c>
      <c r="D33" s="23" t="str">
        <f>'Rekap Harian'!I33</f>
        <v/>
      </c>
      <c r="E33" s="23" t="str">
        <f>'Rekap Harian'!H33</f>
        <v/>
      </c>
    </row>
    <row r="34" ht="15.75" customHeight="1">
      <c r="A34" s="22" t="str">
        <f>'Rekap Harian'!B34</f>
        <v/>
      </c>
      <c r="B34" s="23" t="str">
        <f>'Rekap Harian'!F34</f>
        <v/>
      </c>
      <c r="C34" s="23" t="str">
        <f>'Rekap Harian'!E34</f>
        <v/>
      </c>
      <c r="D34" s="23" t="str">
        <f>'Rekap Harian'!I34</f>
        <v/>
      </c>
      <c r="E34" s="23" t="str">
        <f>'Rekap Harian'!H34</f>
        <v/>
      </c>
    </row>
    <row r="35" ht="15.75" customHeight="1">
      <c r="A35" s="22" t="str">
        <f>'Rekap Harian'!B35</f>
        <v/>
      </c>
      <c r="B35" s="23" t="str">
        <f>'Rekap Harian'!F35</f>
        <v/>
      </c>
      <c r="C35" s="23" t="str">
        <f>'Rekap Harian'!E35</f>
        <v/>
      </c>
      <c r="D35" s="23" t="str">
        <f>'Rekap Harian'!I35</f>
        <v/>
      </c>
      <c r="E35" s="23" t="str">
        <f>'Rekap Harian'!H35</f>
        <v/>
      </c>
    </row>
    <row r="36" ht="15.75" customHeight="1">
      <c r="A36" s="22" t="str">
        <f>'Rekap Harian'!B36</f>
        <v/>
      </c>
      <c r="B36" s="23" t="str">
        <f>'Rekap Harian'!F36</f>
        <v/>
      </c>
      <c r="C36" s="23" t="str">
        <f>'Rekap Harian'!E36</f>
        <v/>
      </c>
      <c r="D36" s="23" t="str">
        <f>'Rekap Harian'!I36</f>
        <v/>
      </c>
      <c r="E36" s="23" t="str">
        <f>'Rekap Harian'!H36</f>
        <v/>
      </c>
    </row>
    <row r="37" ht="15.75" customHeight="1"/>
    <row r="38" ht="15.75" customHeight="1">
      <c r="A38" s="34" t="s">
        <v>83</v>
      </c>
    </row>
    <row r="39" ht="15.75" customHeight="1">
      <c r="A39" s="18" t="s">
        <v>82</v>
      </c>
      <c r="B39" s="18" t="s">
        <v>84</v>
      </c>
      <c r="C39" s="18" t="s">
        <v>85</v>
      </c>
    </row>
    <row r="40" ht="15.75" customHeight="1">
      <c r="A40" s="22">
        <f>'Rekap Harian'!B6</f>
        <v>45957</v>
      </c>
      <c r="B40" s="20">
        <f>IF('Rekap Harian'!M6&gt;0,'Rekap Harian'!M6,0)</f>
        <v>19904629</v>
      </c>
      <c r="C40" s="6">
        <f>IF('Rekap Harian'!M6&lt;0,-'Rekap Harian'!M6,0)</f>
        <v>0</v>
      </c>
    </row>
    <row r="41" ht="15.75" customHeight="1">
      <c r="A41" s="22">
        <f>'Rekap Harian'!B7</f>
        <v>45958</v>
      </c>
      <c r="B41" s="20">
        <f>IF('Rekap Harian'!M7&gt;0,'Rekap Harian'!M7,0)</f>
        <v>19375500</v>
      </c>
      <c r="C41" s="6">
        <f>IF('Rekap Harian'!M7&lt;0,-'Rekap Harian'!M7,0)</f>
        <v>0</v>
      </c>
    </row>
    <row r="42" ht="15.75" customHeight="1">
      <c r="A42" s="22">
        <f>'Rekap Harian'!B8</f>
        <v>45959</v>
      </c>
      <c r="B42" s="20">
        <f>IF('Rekap Harian'!M8&gt;0,'Rekap Harian'!M8,0)</f>
        <v>8238500</v>
      </c>
      <c r="C42" s="6">
        <f>IF('Rekap Harian'!M8&lt;0,-'Rekap Harian'!M8,0)</f>
        <v>0</v>
      </c>
    </row>
    <row r="43" ht="15.75" customHeight="1">
      <c r="A43" s="22">
        <f>'Rekap Harian'!B9</f>
        <v>45960</v>
      </c>
      <c r="B43" s="20">
        <f>IF('Rekap Harian'!M9&gt;0,'Rekap Harian'!M9,0)</f>
        <v>12689000</v>
      </c>
      <c r="C43" s="6">
        <f>IF('Rekap Harian'!M9&lt;0,-'Rekap Harian'!M9,0)</f>
        <v>0</v>
      </c>
    </row>
    <row r="44" ht="15.75" customHeight="1">
      <c r="A44" s="22">
        <f>'Rekap Harian'!B10</f>
        <v>45961</v>
      </c>
      <c r="B44" s="20">
        <f>IF('Rekap Harian'!M10&gt;0,'Rekap Harian'!M10,0)</f>
        <v>17923500</v>
      </c>
      <c r="C44" s="6">
        <f>IF('Rekap Harian'!M10&lt;0,-'Rekap Harian'!M10,0)</f>
        <v>0</v>
      </c>
    </row>
    <row r="45" ht="15.75" customHeight="1">
      <c r="A45" s="22">
        <f>'Rekap Harian'!B11</f>
        <v>45962</v>
      </c>
      <c r="B45" s="20">
        <f>IF('Rekap Harian'!M11&gt;0,'Rekap Harian'!M11,0)</f>
        <v>0</v>
      </c>
      <c r="C45" s="6">
        <f>IF('Rekap Harian'!M11&lt;0,-'Rekap Harian'!M11,0)</f>
        <v>24757500</v>
      </c>
    </row>
    <row r="46" ht="15.75" customHeight="1">
      <c r="A46" s="22">
        <f>'Rekap Harian'!B12</f>
        <v>45963</v>
      </c>
      <c r="B46" s="20">
        <f>IF('Rekap Harian'!M12&gt;0,'Rekap Harian'!M12,0)</f>
        <v>0</v>
      </c>
      <c r="C46" s="6">
        <f>IF('Rekap Harian'!M12&lt;0,-'Rekap Harian'!M12,0)</f>
        <v>0</v>
      </c>
    </row>
    <row r="47" ht="15.75" customHeight="1">
      <c r="A47" s="22">
        <f>'Rekap Harian'!B13</f>
        <v>45964</v>
      </c>
      <c r="B47" s="20">
        <f>IF('Rekap Harian'!M13&gt;0,'Rekap Harian'!M13,0)</f>
        <v>17267000</v>
      </c>
      <c r="C47" s="6">
        <f>IF('Rekap Harian'!M13&lt;0,-'Rekap Harian'!M13,0)</f>
        <v>0</v>
      </c>
    </row>
    <row r="48" ht="15.75" customHeight="1">
      <c r="A48" s="22">
        <f>'Rekap Harian'!B14</f>
        <v>45965</v>
      </c>
      <c r="B48" s="20">
        <f>IF('Rekap Harian'!M14&gt;0,'Rekap Harian'!M14,0)</f>
        <v>12663200</v>
      </c>
      <c r="C48" s="6">
        <f>IF('Rekap Harian'!M14&lt;0,-'Rekap Harian'!M14,0)</f>
        <v>0</v>
      </c>
    </row>
    <row r="49" ht="15.75" customHeight="1">
      <c r="A49" s="22">
        <f>'Rekap Harian'!B15</f>
        <v>45966</v>
      </c>
      <c r="B49" s="20">
        <f>IF('Rekap Harian'!M15&gt;0,'Rekap Harian'!M15,0)</f>
        <v>14888100</v>
      </c>
      <c r="C49" s="6">
        <f>IF('Rekap Harian'!M15&lt;0,-'Rekap Harian'!M15,0)</f>
        <v>0</v>
      </c>
    </row>
    <row r="50" ht="15.75" customHeight="1">
      <c r="A50" s="22">
        <f>'Rekap Harian'!B16</f>
        <v>45967</v>
      </c>
      <c r="B50" s="20">
        <f>IF('Rekap Harian'!M16&gt;0,'Rekap Harian'!M16,0)</f>
        <v>20076000</v>
      </c>
      <c r="C50" s="6">
        <f>IF('Rekap Harian'!M16&lt;0,-'Rekap Harian'!M16,0)</f>
        <v>0</v>
      </c>
    </row>
    <row r="51" ht="15.75" customHeight="1">
      <c r="A51" s="22">
        <f>'Rekap Harian'!B17</f>
        <v>45968</v>
      </c>
      <c r="B51" s="20">
        <f>IF('Rekap Harian'!M17&gt;0,'Rekap Harian'!M17,0)</f>
        <v>8161500</v>
      </c>
      <c r="C51" s="6">
        <f>IF('Rekap Harian'!M17&lt;0,-'Rekap Harian'!M17,0)</f>
        <v>0</v>
      </c>
    </row>
    <row r="52" ht="15.75" customHeight="1">
      <c r="A52" s="22">
        <f>'Rekap Harian'!B18</f>
        <v>45969</v>
      </c>
      <c r="B52" s="20">
        <f>IF('Rekap Harian'!M18&gt;0,'Rekap Harian'!M18,0)</f>
        <v>0</v>
      </c>
      <c r="C52" s="6">
        <f>IF('Rekap Harian'!M18&lt;0,-'Rekap Harian'!M18,0)</f>
        <v>85156000</v>
      </c>
    </row>
    <row r="53" ht="15.75" customHeight="1">
      <c r="A53" s="22" t="str">
        <f>'Rekap Harian'!B19</f>
        <v/>
      </c>
      <c r="B53" s="20">
        <f>IF('Rekap Harian'!M19&gt;0,'Rekap Harian'!M19,0)</f>
        <v>0</v>
      </c>
      <c r="C53" s="6">
        <f>IF('Rekap Harian'!M19&lt;0,-'Rekap Harian'!M19,0)</f>
        <v>0</v>
      </c>
    </row>
    <row r="54" ht="15.75" customHeight="1">
      <c r="A54" s="22" t="str">
        <f>'Rekap Harian'!B20</f>
        <v/>
      </c>
      <c r="B54" s="20">
        <f>IF('Rekap Harian'!M20&gt;0,'Rekap Harian'!M20,0)</f>
        <v>0</v>
      </c>
      <c r="C54" s="6">
        <f>IF('Rekap Harian'!M20&lt;0,-'Rekap Harian'!M20,0)</f>
        <v>0</v>
      </c>
    </row>
    <row r="55" ht="15.75" customHeight="1">
      <c r="A55" s="22" t="str">
        <f>'Rekap Harian'!B21</f>
        <v/>
      </c>
      <c r="B55" s="20">
        <f>IF('Rekap Harian'!M21&gt;0,'Rekap Harian'!M21,0)</f>
        <v>0</v>
      </c>
      <c r="C55" s="6">
        <f>IF('Rekap Harian'!M21&lt;0,-'Rekap Harian'!M21,0)</f>
        <v>0</v>
      </c>
    </row>
    <row r="56" ht="15.75" customHeight="1">
      <c r="A56" s="22" t="str">
        <f>'Rekap Harian'!B22</f>
        <v/>
      </c>
      <c r="B56" s="20">
        <f>IF('Rekap Harian'!M22&gt;0,'Rekap Harian'!M22,0)</f>
        <v>0</v>
      </c>
      <c r="C56" s="6">
        <f>IF('Rekap Harian'!M22&lt;0,-'Rekap Harian'!M22,0)</f>
        <v>0</v>
      </c>
    </row>
    <row r="57" ht="15.75" customHeight="1">
      <c r="A57" s="22" t="str">
        <f>'Rekap Harian'!B23</f>
        <v/>
      </c>
      <c r="B57" s="20">
        <f>IF('Rekap Harian'!M23&gt;0,'Rekap Harian'!M23,0)</f>
        <v>0</v>
      </c>
      <c r="C57" s="6">
        <f>IF('Rekap Harian'!M23&lt;0,-'Rekap Harian'!M23,0)</f>
        <v>0</v>
      </c>
    </row>
    <row r="58" ht="15.75" customHeight="1">
      <c r="A58" s="22" t="str">
        <f>'Rekap Harian'!B24</f>
        <v/>
      </c>
      <c r="B58" s="20">
        <f>IF('Rekap Harian'!M24&gt;0,'Rekap Harian'!M24,0)</f>
        <v>0</v>
      </c>
      <c r="C58" s="6">
        <f>IF('Rekap Harian'!M24&lt;0,-'Rekap Harian'!M24,0)</f>
        <v>0</v>
      </c>
    </row>
    <row r="59" ht="15.75" customHeight="1">
      <c r="A59" s="22" t="str">
        <f>'Rekap Harian'!B25</f>
        <v/>
      </c>
      <c r="B59" s="20">
        <f>IF('Rekap Harian'!M25&gt;0,'Rekap Harian'!M25,0)</f>
        <v>0</v>
      </c>
      <c r="C59" s="6">
        <f>IF('Rekap Harian'!M25&lt;0,-'Rekap Harian'!M25,0)</f>
        <v>0</v>
      </c>
    </row>
    <row r="60" ht="15.75" customHeight="1">
      <c r="A60" s="22" t="str">
        <f>'Rekap Harian'!B26</f>
        <v/>
      </c>
      <c r="B60" s="20">
        <f>IF('Rekap Harian'!M26&gt;0,'Rekap Harian'!M26,0)</f>
        <v>0</v>
      </c>
      <c r="C60" s="6">
        <f>IF('Rekap Harian'!M26&lt;0,-'Rekap Harian'!M26,0)</f>
        <v>0</v>
      </c>
    </row>
    <row r="61" ht="15.75" customHeight="1">
      <c r="A61" s="22" t="str">
        <f>'Rekap Harian'!B27</f>
        <v/>
      </c>
      <c r="B61" s="20">
        <f>IF('Rekap Harian'!M27&gt;0,'Rekap Harian'!M27,0)</f>
        <v>0</v>
      </c>
      <c r="C61" s="6">
        <f>IF('Rekap Harian'!M27&lt;0,-'Rekap Harian'!M27,0)</f>
        <v>0</v>
      </c>
    </row>
    <row r="62" ht="15.75" customHeight="1">
      <c r="A62" s="22" t="str">
        <f>'Rekap Harian'!B28</f>
        <v/>
      </c>
      <c r="B62" s="20">
        <f>IF('Rekap Harian'!M28&gt;0,'Rekap Harian'!M28,0)</f>
        <v>0</v>
      </c>
      <c r="C62" s="6">
        <f>IF('Rekap Harian'!M28&lt;0,-'Rekap Harian'!M28,0)</f>
        <v>0</v>
      </c>
    </row>
    <row r="63" ht="15.75" customHeight="1">
      <c r="A63" s="22" t="str">
        <f>'Rekap Harian'!B29</f>
        <v/>
      </c>
      <c r="B63" s="20">
        <f>IF('Rekap Harian'!M29&gt;0,'Rekap Harian'!M29,0)</f>
        <v>0</v>
      </c>
      <c r="C63" s="6">
        <f>IF('Rekap Harian'!M29&lt;0,-'Rekap Harian'!M29,0)</f>
        <v>0</v>
      </c>
    </row>
    <row r="64" ht="15.75" customHeight="1">
      <c r="A64" s="22" t="str">
        <f>'Rekap Harian'!B30</f>
        <v/>
      </c>
      <c r="B64" s="20">
        <f>IF('Rekap Harian'!M30&gt;0,'Rekap Harian'!M30,0)</f>
        <v>0</v>
      </c>
      <c r="C64" s="6">
        <f>IF('Rekap Harian'!M30&lt;0,-'Rekap Harian'!M30,0)</f>
        <v>0</v>
      </c>
    </row>
    <row r="65" ht="15.75" customHeight="1">
      <c r="A65" s="22" t="str">
        <f>'Rekap Harian'!B31</f>
        <v/>
      </c>
      <c r="B65" s="20">
        <f>IF('Rekap Harian'!M31&gt;0,'Rekap Harian'!M31,0)</f>
        <v>0</v>
      </c>
      <c r="C65" s="6">
        <f>IF('Rekap Harian'!M31&lt;0,-'Rekap Harian'!M31,0)</f>
        <v>0</v>
      </c>
    </row>
    <row r="66" ht="15.75" customHeight="1">
      <c r="A66" s="22" t="str">
        <f>'Rekap Harian'!B32</f>
        <v/>
      </c>
      <c r="B66" s="20">
        <f>IF('Rekap Harian'!M32&gt;0,'Rekap Harian'!M32,0)</f>
        <v>0</v>
      </c>
      <c r="C66" s="6">
        <f>IF('Rekap Harian'!M32&lt;0,-'Rekap Harian'!M32,0)</f>
        <v>0</v>
      </c>
    </row>
    <row r="67" ht="15.75" customHeight="1">
      <c r="A67" s="22" t="str">
        <f>'Rekap Harian'!B33</f>
        <v/>
      </c>
      <c r="B67" s="20">
        <f>IF('Rekap Harian'!M33&gt;0,'Rekap Harian'!M33,0)</f>
        <v>0</v>
      </c>
      <c r="C67" s="6">
        <f>IF('Rekap Harian'!M33&lt;0,-'Rekap Harian'!M33,0)</f>
        <v>0</v>
      </c>
    </row>
    <row r="68" ht="15.75" customHeight="1">
      <c r="A68" s="22" t="str">
        <f>'Rekap Harian'!B34</f>
        <v/>
      </c>
      <c r="B68" s="20">
        <f>IF('Rekap Harian'!M34&gt;0,'Rekap Harian'!M34,0)</f>
        <v>0</v>
      </c>
      <c r="C68" s="6">
        <f>IF('Rekap Harian'!M34&lt;0,-'Rekap Harian'!M34,0)</f>
        <v>0</v>
      </c>
    </row>
    <row r="69" ht="15.75" customHeight="1">
      <c r="A69" s="22" t="str">
        <f>'Rekap Harian'!B35</f>
        <v/>
      </c>
      <c r="B69" s="20">
        <f>IF('Rekap Harian'!M35&gt;0,'Rekap Harian'!M35,0)</f>
        <v>0</v>
      </c>
      <c r="C69" s="6">
        <f>IF('Rekap Harian'!M35&lt;0,-'Rekap Harian'!M35,0)</f>
        <v>0</v>
      </c>
    </row>
    <row r="70" ht="15.75" customHeight="1">
      <c r="A70" s="22" t="str">
        <f>'Rekap Harian'!B36</f>
        <v/>
      </c>
      <c r="B70" s="20">
        <f>IF('Rekap Harian'!M36&gt;0,'Rekap Harian'!M36,0)</f>
        <v>0</v>
      </c>
      <c r="C70" s="6">
        <f>IF('Rekap Harian'!M36&lt;0,-'Rekap Harian'!M36,0)</f>
        <v>0</v>
      </c>
    </row>
    <row r="71" ht="15.75" customHeight="1"/>
    <row r="72" ht="15.75" customHeight="1">
      <c r="A72" s="34" t="s">
        <v>86</v>
      </c>
    </row>
    <row r="73" ht="15.75" customHeight="1">
      <c r="A73" s="18" t="s">
        <v>87</v>
      </c>
      <c r="B73" s="18" t="s">
        <v>58</v>
      </c>
      <c r="C73" s="18" t="s">
        <v>57</v>
      </c>
      <c r="D73" s="18" t="s">
        <v>61</v>
      </c>
      <c r="E73" s="18" t="s">
        <v>60</v>
      </c>
    </row>
    <row r="74" ht="15.75" customHeight="1">
      <c r="A74" s="4" t="str">
        <f t="shared" ref="A74:A78" si="1">"Mg "&amp;A4</f>
        <v>Mg 1. Tren Harian - Pangan &amp; Operasional vs Pagu</v>
      </c>
      <c r="B74" s="23">
        <f>'Rekap Mingguan'!D4</f>
        <v>167240500</v>
      </c>
      <c r="C74" s="23">
        <f>'Rekap Mingguan'!C4</f>
        <v>186156000</v>
      </c>
      <c r="D74" s="23">
        <f>'Rekap Mingguan'!G4</f>
        <v>55391871</v>
      </c>
      <c r="E74" s="23">
        <f>'Rekap Mingguan'!F4</f>
        <v>89850000</v>
      </c>
    </row>
    <row r="75" ht="15.75" customHeight="1">
      <c r="A75" s="4" t="str">
        <f t="shared" si="1"/>
        <v>Mg Tgl</v>
      </c>
      <c r="B75" s="23">
        <f>'Rekap Mingguan'!D5</f>
        <v>166078600</v>
      </c>
      <c r="C75" s="23">
        <f>'Rekap Mingguan'!C5</f>
        <v>186156000</v>
      </c>
      <c r="D75" s="23">
        <f>'Rekap Mingguan'!G5</f>
        <v>122027600</v>
      </c>
      <c r="E75" s="23">
        <f>'Rekap Mingguan'!F5</f>
        <v>89850000</v>
      </c>
    </row>
    <row r="76" ht="15.75" customHeight="1">
      <c r="A76" s="4" t="str">
        <f t="shared" si="1"/>
        <v>Mg 45957</v>
      </c>
      <c r="B76" s="23">
        <f>'Rekap Mingguan'!D6</f>
        <v>0</v>
      </c>
      <c r="C76" s="23">
        <f>'Rekap Mingguan'!C6</f>
        <v>0</v>
      </c>
      <c r="D76" s="23">
        <f>'Rekap Mingguan'!G6</f>
        <v>0</v>
      </c>
      <c r="E76" s="23">
        <f>'Rekap Mingguan'!F6</f>
        <v>0</v>
      </c>
    </row>
    <row r="77" ht="15.75" customHeight="1">
      <c r="A77" s="4" t="str">
        <f t="shared" si="1"/>
        <v>Mg 45958</v>
      </c>
      <c r="B77" s="23">
        <f>'Rekap Mingguan'!D7</f>
        <v>0</v>
      </c>
      <c r="C77" s="23">
        <f>'Rekap Mingguan'!C7</f>
        <v>0</v>
      </c>
      <c r="D77" s="23">
        <f>'Rekap Mingguan'!G7</f>
        <v>0</v>
      </c>
      <c r="E77" s="23">
        <f>'Rekap Mingguan'!F7</f>
        <v>0</v>
      </c>
    </row>
    <row r="78" ht="15.75" customHeight="1">
      <c r="A78" s="4" t="str">
        <f t="shared" si="1"/>
        <v>Mg 45959</v>
      </c>
      <c r="B78" s="23">
        <f>'Rekap Mingguan'!D8</f>
        <v>0</v>
      </c>
      <c r="C78" s="23">
        <f>'Rekap Mingguan'!C8</f>
        <v>0</v>
      </c>
      <c r="D78" s="23">
        <f>'Rekap Mingguan'!G8</f>
        <v>0</v>
      </c>
      <c r="E78" s="23">
        <f>'Rekap Mingguan'!F8</f>
        <v>0</v>
      </c>
    </row>
    <row r="79" ht="15.75" customHeight="1"/>
    <row r="80" ht="15.75" customHeight="1">
      <c r="A80" s="34" t="s">
        <v>88</v>
      </c>
    </row>
    <row r="81" ht="15.75" customHeight="1">
      <c r="A81" s="18" t="s">
        <v>89</v>
      </c>
      <c r="B81" s="18" t="s">
        <v>90</v>
      </c>
      <c r="C81" s="18" t="s">
        <v>91</v>
      </c>
    </row>
    <row r="82" ht="15.75" customHeight="1">
      <c r="A82" s="27" t="s">
        <v>92</v>
      </c>
      <c r="B82" s="23">
        <f>SUM('Rekap Harian'!$F$6:$F$36)</f>
        <v>333319100</v>
      </c>
      <c r="C82" s="15">
        <f>IF((SUM('Rekap Harian'!$F$6:$F$36)+SUM('Rekap Harian'!$I$6:$I$36))=0,0,B82/(SUM('Rekap Harian'!$F$6:$F$36)+SUM('Rekap Harian'!$I$6:$I$36)))</f>
        <v>0.65262175</v>
      </c>
    </row>
    <row r="83" ht="15.75" customHeight="1">
      <c r="A83" s="27" t="s">
        <v>93</v>
      </c>
      <c r="B83" s="23">
        <f>SUM('Rekap Harian'!$I$6:$I$36)</f>
        <v>177419471</v>
      </c>
      <c r="C83" s="15">
        <f>IF((SUM('Rekap Harian'!$F$6:$F$36)+SUM('Rekap Harian'!$I$6:$I$36))=0,0,B83/(SUM('Rekap Harian'!$F$6:$F$36)+SUM('Rekap Harian'!$I$6:$I$36)))</f>
        <v>0.34737825</v>
      </c>
    </row>
    <row r="84" ht="15.75" customHeight="1"/>
    <row r="85" ht="15.75" customHeight="1">
      <c r="A85" s="34" t="s">
        <v>94</v>
      </c>
    </row>
    <row r="86" ht="15.75" customHeight="1">
      <c r="A86" s="18" t="s">
        <v>89</v>
      </c>
      <c r="B86" s="18" t="s">
        <v>95</v>
      </c>
      <c r="C86" s="18" t="s">
        <v>7</v>
      </c>
      <c r="D86" s="18" t="s">
        <v>8</v>
      </c>
    </row>
    <row r="87" ht="15.75" customHeight="1">
      <c r="A87" s="27" t="s">
        <v>92</v>
      </c>
      <c r="B87" s="23">
        <f>Pengaturan!B8</f>
        <v>372312000</v>
      </c>
      <c r="C87" s="23">
        <f>SUM('Rekap Harian'!$F$6:$F$36)</f>
        <v>333319100</v>
      </c>
      <c r="D87" s="23">
        <f t="shared" ref="D87:D88" si="2">B87-C87</f>
        <v>38992900</v>
      </c>
    </row>
    <row r="88" ht="15.75" customHeight="1">
      <c r="A88" s="27" t="s">
        <v>93</v>
      </c>
      <c r="B88" s="23">
        <f>Pengaturan!B9</f>
        <v>179700000</v>
      </c>
      <c r="C88" s="23">
        <f>SUM('Rekap Harian'!$I$6:$I$36)</f>
        <v>177419471</v>
      </c>
      <c r="D88" s="23">
        <f t="shared" si="2"/>
        <v>2280529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7.86"/>
    <col customWidth="1" min="3" max="3" width="30.0"/>
    <col customWidth="1" min="4" max="26" width="8.86"/>
  </cols>
  <sheetData>
    <row r="1" ht="31.5" customHeight="1">
      <c r="A1" s="1" t="s">
        <v>96</v>
      </c>
    </row>
    <row r="2" ht="19.5" customHeight="1">
      <c r="A2" s="21" t="s">
        <v>97</v>
      </c>
    </row>
    <row r="3">
      <c r="A3" s="3" t="s">
        <v>98</v>
      </c>
      <c r="B3" s="35">
        <v>45957.0</v>
      </c>
      <c r="C3" s="14" t="s">
        <v>99</v>
      </c>
    </row>
    <row r="4">
      <c r="A4" s="3" t="s">
        <v>100</v>
      </c>
      <c r="B4" s="35">
        <v>45969.0</v>
      </c>
      <c r="C4" s="14" t="s">
        <v>99</v>
      </c>
    </row>
    <row r="5">
      <c r="A5" s="3" t="s">
        <v>101</v>
      </c>
      <c r="B5" s="36">
        <f>B4-B3+1</f>
        <v>13</v>
      </c>
      <c r="C5" s="14" t="s">
        <v>102</v>
      </c>
    </row>
    <row r="7">
      <c r="A7" s="37" t="s">
        <v>103</v>
      </c>
    </row>
    <row r="8">
      <c r="A8" s="3" t="s">
        <v>15</v>
      </c>
      <c r="B8" s="23">
        <f>31026000*12</f>
        <v>372312000</v>
      </c>
      <c r="C8" s="14" t="s">
        <v>104</v>
      </c>
    </row>
    <row r="9">
      <c r="A9" s="3" t="s">
        <v>23</v>
      </c>
      <c r="B9" s="23">
        <f>9975000*12+60000000</f>
        <v>179700000</v>
      </c>
      <c r="C9" s="14" t="s">
        <v>104</v>
      </c>
    </row>
    <row r="10">
      <c r="A10" s="3" t="s">
        <v>105</v>
      </c>
      <c r="B10" s="19">
        <f>B8+B9</f>
        <v>552012000</v>
      </c>
    </row>
    <row r="12">
      <c r="A12" s="37" t="s">
        <v>106</v>
      </c>
    </row>
    <row r="13">
      <c r="A13" s="3" t="s">
        <v>107</v>
      </c>
      <c r="B13" s="23">
        <v>2.8234E7</v>
      </c>
      <c r="C13" s="14" t="s">
        <v>108</v>
      </c>
    </row>
    <row r="14">
      <c r="A14" s="3" t="s">
        <v>109</v>
      </c>
      <c r="B14" s="23">
        <v>9033000.0</v>
      </c>
      <c r="C14" s="14" t="s">
        <v>110</v>
      </c>
    </row>
    <row r="15">
      <c r="A15" s="3" t="s">
        <v>111</v>
      </c>
      <c r="B15" s="25">
        <f>SUM(B13:B14)</f>
        <v>37267000</v>
      </c>
      <c r="C15" s="14" t="s">
        <v>112</v>
      </c>
    </row>
    <row r="17">
      <c r="A17" s="37" t="s">
        <v>113</v>
      </c>
    </row>
    <row r="18">
      <c r="A18" s="3" t="s">
        <v>114</v>
      </c>
      <c r="B18" s="17" t="s">
        <v>115</v>
      </c>
    </row>
    <row r="19">
      <c r="A19" s="3" t="s">
        <v>116</v>
      </c>
      <c r="B19" s="17" t="s">
        <v>69</v>
      </c>
    </row>
    <row r="20">
      <c r="A20" s="3" t="s">
        <v>117</v>
      </c>
      <c r="B20" s="17" t="s">
        <v>118</v>
      </c>
    </row>
    <row r="21" ht="15.75" customHeight="1">
      <c r="A21" s="3" t="s">
        <v>119</v>
      </c>
      <c r="B21" s="4" t="str">
        <f>TEXT(B3,"dd mmm yyyy")&amp;" s/d "&amp;TEXT(B4,"dd mmm yyyy")</f>
        <v>27 Oct 2025 s/d 08 Nov 2025</v>
      </c>
    </row>
    <row r="22" ht="15.75" customHeight="1"/>
    <row r="23" ht="15.75" customHeight="1">
      <c r="A23" s="3" t="s">
        <v>46</v>
      </c>
    </row>
    <row r="24" ht="15.75" customHeight="1">
      <c r="A24" s="14" t="s">
        <v>120</v>
      </c>
    </row>
    <row r="25" ht="15.75" customHeight="1">
      <c r="A25" s="14" t="s">
        <v>121</v>
      </c>
    </row>
    <row r="26" ht="15.75" customHeight="1">
      <c r="A26" s="14" t="s">
        <v>122</v>
      </c>
    </row>
    <row r="27" ht="15.75" customHeight="1">
      <c r="A27" s="14" t="s">
        <v>123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0"/>
    <col customWidth="1" min="2" max="4" width="22.0"/>
    <col customWidth="1" min="5" max="5" width="28.0"/>
    <col customWidth="1" min="6" max="26" width="8.86"/>
  </cols>
  <sheetData>
    <row r="1" ht="31.5" customHeight="1">
      <c r="A1" s="1" t="s">
        <v>124</v>
      </c>
    </row>
    <row r="2" ht="19.5" customHeight="1">
      <c r="A2" s="21" t="s">
        <v>125</v>
      </c>
    </row>
    <row r="3">
      <c r="A3" s="18" t="s">
        <v>54</v>
      </c>
      <c r="B3" s="18" t="s">
        <v>126</v>
      </c>
      <c r="C3" s="18" t="s">
        <v>127</v>
      </c>
      <c r="D3" s="18" t="s">
        <v>128</v>
      </c>
      <c r="E3" s="18" t="s">
        <v>129</v>
      </c>
    </row>
    <row r="4">
      <c r="A4" s="22">
        <f>IF(Pengaturan!$B$3+0&gt;Pengaturan!$B$4,"",Pengaturan!$B$3+0)</f>
        <v>45957</v>
      </c>
      <c r="B4" s="24">
        <v>3.1026E7</v>
      </c>
      <c r="C4" s="24">
        <v>1.4975E7</v>
      </c>
      <c r="D4" s="25">
        <f t="shared" ref="D4:D34" si="1">IF(A4="","",B4+C4)</f>
        <v>46001000</v>
      </c>
    </row>
    <row r="5">
      <c r="A5" s="22">
        <f>IF(Pengaturan!$B$3+1&gt;Pengaturan!$B$4,"",Pengaturan!$B$3+1)</f>
        <v>45958</v>
      </c>
      <c r="B5" s="24">
        <v>3.1026E7</v>
      </c>
      <c r="C5" s="24">
        <v>1.4975E7</v>
      </c>
      <c r="D5" s="25">
        <f t="shared" si="1"/>
        <v>46001000</v>
      </c>
    </row>
    <row r="6">
      <c r="A6" s="22">
        <f>IF(Pengaturan!$B$3+2&gt;Pengaturan!$B$4,"",Pengaturan!$B$3+2)</f>
        <v>45959</v>
      </c>
      <c r="B6" s="24">
        <v>3.1026E7</v>
      </c>
      <c r="C6" s="24">
        <v>1.4975E7</v>
      </c>
      <c r="D6" s="25">
        <f t="shared" si="1"/>
        <v>46001000</v>
      </c>
    </row>
    <row r="7">
      <c r="A7" s="22">
        <f>IF(Pengaturan!$B$3+3&gt;Pengaturan!$B$4,"",Pengaturan!$B$3+3)</f>
        <v>45960</v>
      </c>
      <c r="B7" s="24">
        <v>3.1026E7</v>
      </c>
      <c r="C7" s="24">
        <v>1.4975E7</v>
      </c>
      <c r="D7" s="25">
        <f t="shared" si="1"/>
        <v>46001000</v>
      </c>
    </row>
    <row r="8">
      <c r="A8" s="22">
        <f>IF(Pengaturan!$B$3+4&gt;Pengaturan!$B$4,"",Pengaturan!$B$3+4)</f>
        <v>45961</v>
      </c>
      <c r="B8" s="24">
        <v>3.1026E7</v>
      </c>
      <c r="C8" s="24">
        <v>1.4975E7</v>
      </c>
      <c r="D8" s="25">
        <f t="shared" si="1"/>
        <v>46001000</v>
      </c>
    </row>
    <row r="9">
      <c r="A9" s="22">
        <f>IF(Pengaturan!$B$3+5&gt;Pengaturan!$B$4,"",Pengaturan!$B$3+5)</f>
        <v>45962</v>
      </c>
      <c r="B9" s="24">
        <v>3.1026E7</v>
      </c>
      <c r="C9" s="24">
        <v>1.4975E7</v>
      </c>
      <c r="D9" s="25">
        <f t="shared" si="1"/>
        <v>46001000</v>
      </c>
    </row>
    <row r="10">
      <c r="A10" s="22">
        <f>IF(Pengaturan!$B$3+6&gt;Pengaturan!$B$4,"",Pengaturan!$B$3+6)</f>
        <v>45963</v>
      </c>
      <c r="B10" s="24">
        <v>3.1026E7</v>
      </c>
      <c r="C10" s="24">
        <v>1.4975E7</v>
      </c>
      <c r="D10" s="25">
        <f t="shared" si="1"/>
        <v>46001000</v>
      </c>
    </row>
    <row r="11">
      <c r="A11" s="22">
        <f>IF(Pengaturan!$B$3+7&gt;Pengaturan!$B$4,"",Pengaturan!$B$3+7)</f>
        <v>45964</v>
      </c>
      <c r="B11" s="24">
        <v>3.1026E7</v>
      </c>
      <c r="C11" s="24">
        <v>1.4975E7</v>
      </c>
      <c r="D11" s="25">
        <f t="shared" si="1"/>
        <v>46001000</v>
      </c>
    </row>
    <row r="12">
      <c r="A12" s="22">
        <f>IF(Pengaturan!$B$3+8&gt;Pengaturan!$B$4,"",Pengaturan!$B$3+8)</f>
        <v>45965</v>
      </c>
      <c r="B12" s="24">
        <v>3.1026E7</v>
      </c>
      <c r="C12" s="24">
        <v>1.4975E7</v>
      </c>
      <c r="D12" s="25">
        <f t="shared" si="1"/>
        <v>46001000</v>
      </c>
    </row>
    <row r="13">
      <c r="A13" s="22">
        <f>IF(Pengaturan!$B$3+9&gt;Pengaturan!$B$4,"",Pengaturan!$B$3+9)</f>
        <v>45966</v>
      </c>
      <c r="B13" s="24">
        <v>3.1026E7</v>
      </c>
      <c r="C13" s="24">
        <v>1.4975E7</v>
      </c>
      <c r="D13" s="25">
        <f t="shared" si="1"/>
        <v>46001000</v>
      </c>
    </row>
    <row r="14">
      <c r="A14" s="22">
        <f>IF(Pengaturan!$B$3+10&gt;Pengaturan!$B$4,"",Pengaturan!$B$3+10)</f>
        <v>45967</v>
      </c>
      <c r="B14" s="24">
        <v>3.1026E7</v>
      </c>
      <c r="C14" s="24">
        <v>1.4975E7</v>
      </c>
      <c r="D14" s="25">
        <f t="shared" si="1"/>
        <v>46001000</v>
      </c>
    </row>
    <row r="15">
      <c r="A15" s="22">
        <f>IF(Pengaturan!$B$3+11&gt;Pengaturan!$B$4,"",Pengaturan!$B$3+11)</f>
        <v>45968</v>
      </c>
      <c r="B15" s="24">
        <v>3.1026E7</v>
      </c>
      <c r="C15" s="24">
        <v>1.4975E7</v>
      </c>
      <c r="D15" s="25">
        <f t="shared" si="1"/>
        <v>46001000</v>
      </c>
    </row>
    <row r="16">
      <c r="A16" s="22">
        <f>IF(Pengaturan!$B$3+12&gt;Pengaturan!$B$4,"",Pengaturan!$B$3+12)</f>
        <v>45969</v>
      </c>
      <c r="B16" s="24">
        <v>3.1026E7</v>
      </c>
      <c r="C16" s="24">
        <v>1.4975E7</v>
      </c>
      <c r="D16" s="25">
        <f t="shared" si="1"/>
        <v>46001000</v>
      </c>
    </row>
    <row r="17">
      <c r="A17" s="22" t="str">
        <f>IF(Pengaturan!$B$3+13&gt;Pengaturan!$B$4,"",Pengaturan!$B$3+13)</f>
        <v/>
      </c>
      <c r="B17" s="23" t="str">
        <f>IF(A17="","",Pengaturan!$B$13)</f>
        <v/>
      </c>
      <c r="C17" s="23" t="str">
        <f>IF(A17="","",Pengaturan!$B$14)</f>
        <v/>
      </c>
      <c r="D17" s="25" t="str">
        <f t="shared" si="1"/>
        <v/>
      </c>
    </row>
    <row r="18">
      <c r="A18" s="22" t="str">
        <f>IF(Pengaturan!$B$3+14&gt;Pengaturan!$B$4,"",Pengaturan!$B$3+14)</f>
        <v/>
      </c>
      <c r="B18" s="23" t="str">
        <f>IF(A18="","",Pengaturan!$B$13)</f>
        <v/>
      </c>
      <c r="C18" s="23" t="str">
        <f>IF(A18="","",Pengaturan!$B$14)</f>
        <v/>
      </c>
      <c r="D18" s="25" t="str">
        <f t="shared" si="1"/>
        <v/>
      </c>
    </row>
    <row r="19">
      <c r="A19" s="22" t="str">
        <f>IF(Pengaturan!$B$3+15&gt;Pengaturan!$B$4,"",Pengaturan!$B$3+15)</f>
        <v/>
      </c>
      <c r="B19" s="23" t="str">
        <f>IF(A19="","",Pengaturan!$B$13)</f>
        <v/>
      </c>
      <c r="C19" s="23" t="str">
        <f>IF(A19="","",Pengaturan!$B$14)</f>
        <v/>
      </c>
      <c r="D19" s="25" t="str">
        <f t="shared" si="1"/>
        <v/>
      </c>
    </row>
    <row r="20">
      <c r="A20" s="22" t="str">
        <f>IF(Pengaturan!$B$3+16&gt;Pengaturan!$B$4,"",Pengaturan!$B$3+16)</f>
        <v/>
      </c>
      <c r="B20" s="23" t="str">
        <f>IF(A20="","",Pengaturan!$B$13)</f>
        <v/>
      </c>
      <c r="C20" s="23" t="str">
        <f>IF(A20="","",Pengaturan!$B$14)</f>
        <v/>
      </c>
      <c r="D20" s="25" t="str">
        <f t="shared" si="1"/>
        <v/>
      </c>
    </row>
    <row r="21" ht="15.75" customHeight="1">
      <c r="A21" s="22" t="str">
        <f>IF(Pengaturan!$B$3+17&gt;Pengaturan!$B$4,"",Pengaturan!$B$3+17)</f>
        <v/>
      </c>
      <c r="B21" s="23" t="str">
        <f>IF(A21="","",Pengaturan!$B$13)</f>
        <v/>
      </c>
      <c r="C21" s="23" t="str">
        <f>IF(A21="","",Pengaturan!$B$14)</f>
        <v/>
      </c>
      <c r="D21" s="25" t="str">
        <f t="shared" si="1"/>
        <v/>
      </c>
    </row>
    <row r="22" ht="15.75" customHeight="1">
      <c r="A22" s="22" t="str">
        <f>IF(Pengaturan!$B$3+18&gt;Pengaturan!$B$4,"",Pengaturan!$B$3+18)</f>
        <v/>
      </c>
      <c r="B22" s="23" t="str">
        <f>IF(A22="","",Pengaturan!$B$13)</f>
        <v/>
      </c>
      <c r="C22" s="23" t="str">
        <f>IF(A22="","",Pengaturan!$B$14)</f>
        <v/>
      </c>
      <c r="D22" s="25" t="str">
        <f t="shared" si="1"/>
        <v/>
      </c>
    </row>
    <row r="23" ht="15.75" customHeight="1">
      <c r="A23" s="22" t="str">
        <f>IF(Pengaturan!$B$3+19&gt;Pengaturan!$B$4,"",Pengaturan!$B$3+19)</f>
        <v/>
      </c>
      <c r="B23" s="23" t="str">
        <f>IF(A23="","",Pengaturan!$B$13)</f>
        <v/>
      </c>
      <c r="C23" s="23" t="str">
        <f>IF(A23="","",Pengaturan!$B$14)</f>
        <v/>
      </c>
      <c r="D23" s="25" t="str">
        <f t="shared" si="1"/>
        <v/>
      </c>
    </row>
    <row r="24" ht="15.75" customHeight="1">
      <c r="A24" s="22" t="str">
        <f>IF(Pengaturan!$B$3+20&gt;Pengaturan!$B$4,"",Pengaturan!$B$3+20)</f>
        <v/>
      </c>
      <c r="B24" s="23" t="str">
        <f>IF(A24="","",Pengaturan!$B$13)</f>
        <v/>
      </c>
      <c r="C24" s="23" t="str">
        <f>IF(A24="","",Pengaturan!$B$14)</f>
        <v/>
      </c>
      <c r="D24" s="25" t="str">
        <f t="shared" si="1"/>
        <v/>
      </c>
    </row>
    <row r="25" ht="15.75" customHeight="1">
      <c r="A25" s="22" t="str">
        <f>IF(Pengaturan!$B$3+21&gt;Pengaturan!$B$4,"",Pengaturan!$B$3+21)</f>
        <v/>
      </c>
      <c r="B25" s="23" t="str">
        <f>IF(A25="","",Pengaturan!$B$13)</f>
        <v/>
      </c>
      <c r="C25" s="23" t="str">
        <f>IF(A25="","",Pengaturan!$B$14)</f>
        <v/>
      </c>
      <c r="D25" s="25" t="str">
        <f t="shared" si="1"/>
        <v/>
      </c>
    </row>
    <row r="26" ht="15.75" customHeight="1">
      <c r="A26" s="22" t="str">
        <f>IF(Pengaturan!$B$3+22&gt;Pengaturan!$B$4,"",Pengaturan!$B$3+22)</f>
        <v/>
      </c>
      <c r="B26" s="23" t="str">
        <f>IF(A26="","",Pengaturan!$B$13)</f>
        <v/>
      </c>
      <c r="C26" s="23" t="str">
        <f>IF(A26="","",Pengaturan!$B$14)</f>
        <v/>
      </c>
      <c r="D26" s="25" t="str">
        <f t="shared" si="1"/>
        <v/>
      </c>
    </row>
    <row r="27" ht="15.75" customHeight="1">
      <c r="A27" s="22" t="str">
        <f>IF(Pengaturan!$B$3+23&gt;Pengaturan!$B$4,"",Pengaturan!$B$3+23)</f>
        <v/>
      </c>
      <c r="B27" s="23" t="str">
        <f>IF(A27="","",Pengaturan!$B$13)</f>
        <v/>
      </c>
      <c r="C27" s="23" t="str">
        <f>IF(A27="","",Pengaturan!$B$14)</f>
        <v/>
      </c>
      <c r="D27" s="25" t="str">
        <f t="shared" si="1"/>
        <v/>
      </c>
    </row>
    <row r="28" ht="15.75" customHeight="1">
      <c r="A28" s="22" t="str">
        <f>IF(Pengaturan!$B$3+24&gt;Pengaturan!$B$4,"",Pengaturan!$B$3+24)</f>
        <v/>
      </c>
      <c r="B28" s="23" t="str">
        <f>IF(A28="","",Pengaturan!$B$13)</f>
        <v/>
      </c>
      <c r="C28" s="23" t="str">
        <f>IF(A28="","",Pengaturan!$B$14)</f>
        <v/>
      </c>
      <c r="D28" s="25" t="str">
        <f t="shared" si="1"/>
        <v/>
      </c>
    </row>
    <row r="29" ht="15.75" customHeight="1">
      <c r="A29" s="22" t="str">
        <f>IF(Pengaturan!$B$3+25&gt;Pengaturan!$B$4,"",Pengaturan!$B$3+25)</f>
        <v/>
      </c>
      <c r="B29" s="23" t="str">
        <f>IF(A29="","",Pengaturan!$B$13)</f>
        <v/>
      </c>
      <c r="C29" s="23" t="str">
        <f>IF(A29="","",Pengaturan!$B$14)</f>
        <v/>
      </c>
      <c r="D29" s="25" t="str">
        <f t="shared" si="1"/>
        <v/>
      </c>
    </row>
    <row r="30" ht="15.75" customHeight="1">
      <c r="A30" s="22" t="str">
        <f>IF(Pengaturan!$B$3+26&gt;Pengaturan!$B$4,"",Pengaturan!$B$3+26)</f>
        <v/>
      </c>
      <c r="B30" s="23" t="str">
        <f>IF(A30="","",Pengaturan!$B$13)</f>
        <v/>
      </c>
      <c r="C30" s="23" t="str">
        <f>IF(A30="","",Pengaturan!$B$14)</f>
        <v/>
      </c>
      <c r="D30" s="25" t="str">
        <f t="shared" si="1"/>
        <v/>
      </c>
    </row>
    <row r="31" ht="15.75" customHeight="1">
      <c r="A31" s="22" t="str">
        <f>IF(Pengaturan!$B$3+27&gt;Pengaturan!$B$4,"",Pengaturan!$B$3+27)</f>
        <v/>
      </c>
      <c r="B31" s="23" t="str">
        <f>IF(A31="","",Pengaturan!$B$13)</f>
        <v/>
      </c>
      <c r="C31" s="23" t="str">
        <f>IF(A31="","",Pengaturan!$B$14)</f>
        <v/>
      </c>
      <c r="D31" s="25" t="str">
        <f t="shared" si="1"/>
        <v/>
      </c>
    </row>
    <row r="32" ht="15.75" customHeight="1">
      <c r="A32" s="22" t="str">
        <f>IF(Pengaturan!$B$3+28&gt;Pengaturan!$B$4,"",Pengaturan!$B$3+28)</f>
        <v/>
      </c>
      <c r="B32" s="23" t="str">
        <f>IF(A32="","",Pengaturan!$B$13)</f>
        <v/>
      </c>
      <c r="C32" s="23" t="str">
        <f>IF(A32="","",Pengaturan!$B$14)</f>
        <v/>
      </c>
      <c r="D32" s="25" t="str">
        <f t="shared" si="1"/>
        <v/>
      </c>
    </row>
    <row r="33" ht="15.75" customHeight="1">
      <c r="A33" s="22" t="str">
        <f>IF(Pengaturan!$B$3+29&gt;Pengaturan!$B$4,"",Pengaturan!$B$3+29)</f>
        <v/>
      </c>
      <c r="B33" s="23" t="str">
        <f>IF(A33="","",Pengaturan!$B$13)</f>
        <v/>
      </c>
      <c r="C33" s="23" t="str">
        <f>IF(A33="","",Pengaturan!$B$14)</f>
        <v/>
      </c>
      <c r="D33" s="25" t="str">
        <f t="shared" si="1"/>
        <v/>
      </c>
    </row>
    <row r="34" ht="15.75" customHeight="1">
      <c r="A34" s="22" t="str">
        <f>IF(Pengaturan!$B$3+30&gt;Pengaturan!$B$4,"",Pengaturan!$B$3+30)</f>
        <v/>
      </c>
      <c r="B34" s="23" t="str">
        <f>IF(A34="","",Pengaturan!$B$13)</f>
        <v/>
      </c>
      <c r="C34" s="23" t="str">
        <f>IF(A34="","",Pengaturan!$B$14)</f>
        <v/>
      </c>
      <c r="D34" s="25" t="str">
        <f t="shared" si="1"/>
        <v/>
      </c>
    </row>
    <row r="35" ht="15.75" customHeight="1"/>
    <row r="36" ht="15.75" customHeight="1">
      <c r="A36" s="33" t="s">
        <v>73</v>
      </c>
      <c r="B36" s="19">
        <f t="shared" ref="B36:D36" si="2">SUM(B4:B34)</f>
        <v>403338000</v>
      </c>
      <c r="C36" s="19">
        <f t="shared" si="2"/>
        <v>194675000</v>
      </c>
      <c r="D36" s="19">
        <f t="shared" si="2"/>
        <v>598013000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4.43" defaultRowHeight="15.0"/>
  <cols>
    <col customWidth="1" min="1" max="2" width="28.0"/>
    <col customWidth="1" min="3" max="26" width="8.86"/>
  </cols>
  <sheetData>
    <row r="1" ht="31.5" customHeight="1">
      <c r="A1" s="1" t="s">
        <v>130</v>
      </c>
    </row>
    <row r="2" ht="19.5" customHeight="1">
      <c r="A2" s="21" t="s">
        <v>131</v>
      </c>
    </row>
    <row r="3">
      <c r="A3" s="18" t="s">
        <v>132</v>
      </c>
      <c r="B3" s="18" t="s">
        <v>133</v>
      </c>
    </row>
    <row r="4">
      <c r="A4" s="27" t="s">
        <v>134</v>
      </c>
      <c r="B4" s="27" t="s">
        <v>135</v>
      </c>
    </row>
    <row r="5">
      <c r="A5" s="27" t="s">
        <v>136</v>
      </c>
      <c r="B5" s="27" t="s">
        <v>137</v>
      </c>
    </row>
    <row r="6">
      <c r="A6" s="27" t="s">
        <v>138</v>
      </c>
      <c r="B6" s="27" t="s">
        <v>139</v>
      </c>
    </row>
    <row r="7">
      <c r="A7" s="27" t="s">
        <v>140</v>
      </c>
      <c r="B7" s="27" t="s">
        <v>141</v>
      </c>
    </row>
    <row r="8">
      <c r="A8" s="27" t="s">
        <v>142</v>
      </c>
      <c r="B8" s="27" t="s">
        <v>143</v>
      </c>
    </row>
    <row r="9">
      <c r="A9" s="27" t="s">
        <v>144</v>
      </c>
      <c r="B9" s="27" t="s">
        <v>145</v>
      </c>
    </row>
    <row r="10">
      <c r="A10" s="27" t="s">
        <v>146</v>
      </c>
      <c r="B10" s="27" t="s">
        <v>147</v>
      </c>
    </row>
    <row r="11">
      <c r="A11" s="27" t="s">
        <v>148</v>
      </c>
      <c r="B11" s="27" t="s">
        <v>149</v>
      </c>
    </row>
    <row r="12">
      <c r="A12" s="27" t="s">
        <v>150</v>
      </c>
      <c r="B12" s="27" t="s">
        <v>151</v>
      </c>
    </row>
    <row r="13">
      <c r="B13" s="27" t="s">
        <v>150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2026-05-10T21:51:14Z</dcterms:created>
</cp:coreProperties>
</file>